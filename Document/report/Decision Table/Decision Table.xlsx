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.Cope\Documents\Github\REBS-2025\Document\report\Decision Table\"/>
    </mc:Choice>
  </mc:AlternateContent>
  <xr:revisionPtr revIDLastSave="0" documentId="13_ncr:1_{5B566204-D27D-41B6-8B83-2F77B38519EB}" xr6:coauthVersionLast="47" xr6:coauthVersionMax="47" xr10:uidLastSave="{00000000-0000-0000-0000-000000000000}"/>
  <bookViews>
    <workbookView xWindow="-108" yWindow="-108" windowWidth="23256" windowHeight="12456" xr2:uid="{505FE161-4ED4-4F9D-B2FA-1BF4DC518013}"/>
  </bookViews>
  <sheets>
    <sheet name="Tables" sheetId="3" r:id="rId1"/>
    <sheet name="Cat 1" sheetId="4" r:id="rId2"/>
    <sheet name="Cat 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2" i="5" l="1"/>
  <c r="D71" i="5"/>
  <c r="G67" i="5" s="1"/>
  <c r="D70" i="5"/>
  <c r="D69" i="5"/>
  <c r="D68" i="5"/>
  <c r="D67" i="5"/>
  <c r="D66" i="5"/>
  <c r="D65" i="5"/>
  <c r="D64" i="5"/>
  <c r="D63" i="5"/>
  <c r="D62" i="5"/>
  <c r="D61" i="5"/>
  <c r="G61" i="5" s="1"/>
  <c r="D60" i="5"/>
  <c r="D59" i="5"/>
  <c r="D58" i="5"/>
  <c r="D57" i="5"/>
  <c r="D56" i="5"/>
  <c r="D55" i="5"/>
  <c r="G55" i="5" s="1"/>
  <c r="D54" i="5"/>
  <c r="D53" i="5"/>
  <c r="D52" i="5"/>
  <c r="D51" i="5"/>
  <c r="D50" i="5"/>
  <c r="D49" i="5"/>
  <c r="G49" i="5" s="1"/>
  <c r="D48" i="5"/>
  <c r="D47" i="5"/>
  <c r="D46" i="5"/>
  <c r="D45" i="5"/>
  <c r="D44" i="5"/>
  <c r="D43" i="5"/>
  <c r="G43" i="5" s="1"/>
  <c r="D42" i="5"/>
  <c r="D41" i="5"/>
  <c r="D40" i="5"/>
  <c r="D39" i="5"/>
  <c r="D38" i="5"/>
  <c r="D37" i="5"/>
  <c r="G37" i="5" s="1"/>
  <c r="D36" i="5"/>
  <c r="D35" i="5"/>
  <c r="D34" i="5"/>
  <c r="D33" i="5"/>
  <c r="D32" i="5"/>
  <c r="D31" i="5"/>
  <c r="G31" i="5" s="1"/>
  <c r="D30" i="5"/>
  <c r="D29" i="5"/>
  <c r="D28" i="5"/>
  <c r="D27" i="5"/>
  <c r="D26" i="5"/>
  <c r="D25" i="5"/>
  <c r="G25" i="5" s="1"/>
  <c r="D24" i="5"/>
  <c r="D23" i="5"/>
  <c r="D22" i="5"/>
  <c r="D21" i="5"/>
  <c r="D20" i="5"/>
  <c r="G19" i="5"/>
  <c r="D19" i="5"/>
  <c r="D18" i="5"/>
  <c r="D17" i="5"/>
  <c r="D16" i="5"/>
  <c r="D15" i="5"/>
  <c r="D14" i="5"/>
  <c r="D13" i="5"/>
  <c r="G13" i="5" s="1"/>
  <c r="E12" i="5"/>
  <c r="E11" i="5"/>
  <c r="E10" i="5"/>
  <c r="E9" i="5"/>
  <c r="E8" i="5"/>
  <c r="F7" i="5"/>
  <c r="E7" i="5"/>
  <c r="E6" i="5"/>
  <c r="E5" i="5"/>
  <c r="E4" i="5"/>
  <c r="E3" i="5"/>
  <c r="E2" i="5"/>
  <c r="E1" i="5"/>
  <c r="F73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P3" i="4"/>
  <c r="P4" i="4"/>
  <c r="P5" i="4"/>
  <c r="P6" i="4"/>
  <c r="P7" i="4"/>
  <c r="P8" i="4"/>
  <c r="P9" i="4"/>
  <c r="P10" i="4"/>
  <c r="P11" i="4"/>
  <c r="P12" i="4"/>
  <c r="P13" i="4"/>
  <c r="J3" i="4"/>
  <c r="K3" i="4"/>
  <c r="L3" i="4"/>
  <c r="M3" i="4"/>
  <c r="N3" i="4"/>
  <c r="O3" i="4"/>
  <c r="J4" i="4"/>
  <c r="K4" i="4"/>
  <c r="L4" i="4"/>
  <c r="M4" i="4"/>
  <c r="N4" i="4"/>
  <c r="O4" i="4"/>
  <c r="J5" i="4"/>
  <c r="K5" i="4"/>
  <c r="L5" i="4"/>
  <c r="M5" i="4"/>
  <c r="N5" i="4"/>
  <c r="O5" i="4"/>
  <c r="J6" i="4"/>
  <c r="K6" i="4"/>
  <c r="L6" i="4"/>
  <c r="M6" i="4"/>
  <c r="N6" i="4"/>
  <c r="O6" i="4"/>
  <c r="J7" i="4"/>
  <c r="K7" i="4"/>
  <c r="L7" i="4"/>
  <c r="M7" i="4"/>
  <c r="N7" i="4"/>
  <c r="O7" i="4"/>
  <c r="J8" i="4"/>
  <c r="K8" i="4"/>
  <c r="L8" i="4"/>
  <c r="M8" i="4"/>
  <c r="N8" i="4"/>
  <c r="O8" i="4"/>
  <c r="J9" i="4"/>
  <c r="K9" i="4"/>
  <c r="L9" i="4"/>
  <c r="M9" i="4"/>
  <c r="N9" i="4"/>
  <c r="O9" i="4"/>
  <c r="J10" i="4"/>
  <c r="K10" i="4"/>
  <c r="L10" i="4"/>
  <c r="M10" i="4"/>
  <c r="N10" i="4"/>
  <c r="O10" i="4"/>
  <c r="J11" i="4"/>
  <c r="K11" i="4"/>
  <c r="L11" i="4"/>
  <c r="M11" i="4"/>
  <c r="N11" i="4"/>
  <c r="O11" i="4"/>
  <c r="J12" i="4"/>
  <c r="K12" i="4"/>
  <c r="L12" i="4"/>
  <c r="M12" i="4"/>
  <c r="N12" i="4"/>
  <c r="O12" i="4"/>
  <c r="J13" i="4"/>
  <c r="K13" i="4"/>
  <c r="L13" i="4"/>
  <c r="M13" i="4"/>
  <c r="N13" i="4"/>
  <c r="O13" i="4"/>
  <c r="K2" i="4"/>
  <c r="L2" i="4"/>
  <c r="M2" i="4"/>
  <c r="N2" i="4"/>
  <c r="O2" i="4"/>
  <c r="J2" i="4"/>
  <c r="P2" i="4" s="1"/>
  <c r="G7" i="4"/>
  <c r="F3" i="4"/>
  <c r="F4" i="4"/>
  <c r="F5" i="4"/>
  <c r="F6" i="4"/>
  <c r="F7" i="4"/>
  <c r="F2" i="4"/>
</calcChain>
</file>

<file path=xl/sharedStrings.xml><?xml version="1.0" encoding="utf-8"?>
<sst xmlns="http://schemas.openxmlformats.org/spreadsheetml/2006/main" count="46" uniqueCount="19">
  <si>
    <t>Year</t>
  </si>
  <si>
    <t>Catch    (mt)</t>
  </si>
  <si>
    <t>Fraction unfished</t>
  </si>
  <si>
    <t>Spawning output (trillions of eggs)</t>
  </si>
  <si>
    <r>
      <t>High state:                 male</t>
    </r>
    <r>
      <rPr>
        <i/>
        <sz val="11"/>
        <color theme="1"/>
        <rFont val="Times New Roman"/>
        <family val="1"/>
      </rPr>
      <t xml:space="preserve"> M</t>
    </r>
    <r>
      <rPr>
        <sz val="11"/>
        <color theme="1"/>
        <rFont val="Times New Roman"/>
        <family val="1"/>
      </rPr>
      <t>=0.039</t>
    </r>
  </si>
  <si>
    <r>
      <t xml:space="preserve">Base model:              male </t>
    </r>
    <r>
      <rPr>
        <i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=0.036</t>
    </r>
  </si>
  <si>
    <r>
      <t xml:space="preserve">Low state:               male </t>
    </r>
    <r>
      <rPr>
        <i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=0.032</t>
    </r>
  </si>
  <si>
    <t>Reference Model</t>
  </si>
  <si>
    <t>Catch (mt)</t>
  </si>
  <si>
    <t>Fleet</t>
  </si>
  <si>
    <t>Catch</t>
  </si>
  <si>
    <t>Season</t>
  </si>
  <si>
    <t>Using Reference Model projected catches</t>
  </si>
  <si>
    <r>
      <t xml:space="preserve">Low state: male </t>
    </r>
    <r>
      <rPr>
        <i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=0.032</t>
    </r>
  </si>
  <si>
    <r>
      <t xml:space="preserve">Base model: male </t>
    </r>
    <r>
      <rPr>
        <i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=0.036</t>
    </r>
  </si>
  <si>
    <r>
      <t>High state: male</t>
    </r>
    <r>
      <rPr>
        <i/>
        <sz val="11"/>
        <color theme="1"/>
        <rFont val="Times New Roman"/>
        <family val="1"/>
      </rPr>
      <t xml:space="preserve"> M</t>
    </r>
    <r>
      <rPr>
        <sz val="11"/>
        <color theme="1"/>
        <rFont val="Times New Roman"/>
        <family val="1"/>
      </rPr>
      <t>=0.039</t>
    </r>
  </si>
  <si>
    <t>Cat 1</t>
  </si>
  <si>
    <t>Cat2</t>
  </si>
  <si>
    <t>Projections use 2026 fleet allocations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</si>
</sst>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Arial"/>
      <family val="2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9" xfId="0" applyBorder="1"/>
    <xf numFmtId="4" fontId="1" fillId="2" borderId="8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 vertical="center"/>
    </xf>
    <xf numFmtId="4" fontId="1" fillId="2" borderId="10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4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3" xfId="0" applyFont="1" applyBorder="1" applyAlignment="1">
      <alignment wrapText="1"/>
    </xf>
    <xf numFmtId="0" fontId="2" fillId="0" borderId="5" xfId="0" applyFont="1" applyBorder="1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441A-15D4-4C09-AA66-5C7B90107A8F}">
  <dimension ref="A1:AF31"/>
  <sheetViews>
    <sheetView tabSelected="1" topLeftCell="J15" workbookViewId="0">
      <selection activeCell="T37" sqref="T37"/>
    </sheetView>
  </sheetViews>
  <sheetFormatPr defaultRowHeight="14.4" x14ac:dyDescent="0.3"/>
  <cols>
    <col min="4" max="4" width="11.33203125" customWidth="1"/>
    <col min="6" max="6" width="12.44140625" customWidth="1"/>
    <col min="8" max="8" width="12.77734375" customWidth="1"/>
  </cols>
  <sheetData>
    <row r="1" spans="1:32" x14ac:dyDescent="0.3">
      <c r="A1" s="1"/>
      <c r="B1" s="1"/>
      <c r="C1" s="43"/>
      <c r="D1" s="44"/>
      <c r="E1" s="45"/>
      <c r="F1" s="45"/>
      <c r="G1" s="45"/>
      <c r="H1" s="46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5.2" customHeight="1" x14ac:dyDescent="0.3">
      <c r="A2" s="13"/>
      <c r="B2" s="12"/>
      <c r="C2" s="41" t="s">
        <v>6</v>
      </c>
      <c r="D2" s="47"/>
      <c r="E2" s="39" t="s">
        <v>5</v>
      </c>
      <c r="F2" s="48"/>
      <c r="G2" s="49" t="s">
        <v>4</v>
      </c>
      <c r="H2" s="50"/>
      <c r="K2" s="29"/>
      <c r="L2" s="42"/>
      <c r="M2" s="42"/>
      <c r="N2" s="42"/>
      <c r="O2" s="42"/>
      <c r="P2" s="42"/>
      <c r="Q2" s="42"/>
      <c r="R2" s="42"/>
      <c r="S2" s="42"/>
      <c r="T2" s="42"/>
      <c r="U2" s="28"/>
      <c r="V2" s="29"/>
      <c r="W2" s="42"/>
      <c r="X2" s="42"/>
      <c r="Y2" s="42"/>
      <c r="Z2" s="42"/>
      <c r="AA2" s="42"/>
      <c r="AB2" s="42"/>
      <c r="AC2" s="42"/>
      <c r="AD2" s="42"/>
      <c r="AE2" s="42"/>
      <c r="AF2" s="28"/>
    </row>
    <row r="3" spans="1:32" ht="55.2" x14ac:dyDescent="0.3">
      <c r="A3" s="14" t="s">
        <v>0</v>
      </c>
      <c r="B3" s="2" t="s">
        <v>1</v>
      </c>
      <c r="C3" s="2" t="s">
        <v>3</v>
      </c>
      <c r="D3" s="3" t="s">
        <v>2</v>
      </c>
      <c r="E3" s="2" t="s">
        <v>3</v>
      </c>
      <c r="F3" s="3" t="s">
        <v>2</v>
      </c>
      <c r="G3" s="2" t="s">
        <v>3</v>
      </c>
      <c r="H3" s="4" t="s">
        <v>2</v>
      </c>
      <c r="K3" s="30"/>
      <c r="L3" s="31"/>
      <c r="M3" s="31"/>
      <c r="N3" s="31"/>
      <c r="O3" s="31"/>
      <c r="P3" s="31"/>
      <c r="Q3" s="31"/>
      <c r="R3" s="31"/>
      <c r="S3" s="31"/>
      <c r="T3" s="31"/>
      <c r="U3" s="28"/>
      <c r="V3" s="30"/>
      <c r="W3" s="31"/>
      <c r="X3" s="31"/>
      <c r="Y3" s="31"/>
      <c r="Z3" s="31"/>
      <c r="AA3" s="31"/>
      <c r="AB3" s="31"/>
      <c r="AC3" s="31"/>
      <c r="AD3" s="31"/>
      <c r="AE3" s="31"/>
      <c r="AF3" s="28"/>
    </row>
    <row r="4" spans="1:32" x14ac:dyDescent="0.3">
      <c r="A4" s="15">
        <v>2025</v>
      </c>
      <c r="B4" s="7">
        <v>155.1</v>
      </c>
      <c r="C4" s="19">
        <v>1.9836800000000001</v>
      </c>
      <c r="D4" s="9">
        <v>0.733317</v>
      </c>
      <c r="E4" s="19">
        <v>4.86008</v>
      </c>
      <c r="F4" s="9">
        <v>0.87204099999999996</v>
      </c>
      <c r="G4" s="19">
        <v>13.0847</v>
      </c>
      <c r="H4" s="10">
        <v>0.93285099999999999</v>
      </c>
      <c r="K4" s="32"/>
      <c r="L4" s="33"/>
      <c r="M4" s="34"/>
      <c r="N4" s="35"/>
      <c r="O4" s="35"/>
      <c r="P4" s="34"/>
      <c r="Q4" s="35"/>
      <c r="R4" s="35"/>
      <c r="S4" s="34"/>
      <c r="T4" s="35"/>
      <c r="U4" s="28"/>
      <c r="V4" s="32"/>
      <c r="W4" s="33"/>
      <c r="X4" s="34"/>
      <c r="Y4" s="35"/>
      <c r="Z4" s="36"/>
      <c r="AA4" s="34"/>
      <c r="AB4" s="35"/>
      <c r="AC4" s="36"/>
      <c r="AD4" s="34"/>
      <c r="AE4" s="35"/>
      <c r="AF4" s="28"/>
    </row>
    <row r="5" spans="1:32" x14ac:dyDescent="0.3">
      <c r="A5" s="16">
        <v>2026</v>
      </c>
      <c r="B5" s="8">
        <v>186.7</v>
      </c>
      <c r="C5" s="20">
        <v>1.9867900000000001</v>
      </c>
      <c r="D5" s="10">
        <v>0.73446599999999995</v>
      </c>
      <c r="E5" s="20">
        <v>4.8747499999999997</v>
      </c>
      <c r="F5" s="10">
        <v>0.87467300000000003</v>
      </c>
      <c r="G5" s="20">
        <v>13.129300000000001</v>
      </c>
      <c r="H5" s="10">
        <v>0.93602700000000005</v>
      </c>
      <c r="K5" s="32"/>
      <c r="L5" s="33"/>
      <c r="M5" s="34"/>
      <c r="N5" s="35"/>
      <c r="O5" s="35"/>
      <c r="P5" s="34"/>
      <c r="Q5" s="35"/>
      <c r="R5" s="35"/>
      <c r="S5" s="34"/>
      <c r="T5" s="35"/>
      <c r="U5" s="28"/>
      <c r="V5" s="32"/>
      <c r="W5" s="33"/>
      <c r="X5" s="34"/>
      <c r="Y5" s="35"/>
      <c r="Z5" s="36"/>
      <c r="AA5" s="34"/>
      <c r="AB5" s="35"/>
      <c r="AC5" s="36"/>
      <c r="AD5" s="34"/>
      <c r="AE5" s="35"/>
      <c r="AF5" s="28"/>
    </row>
    <row r="6" spans="1:32" x14ac:dyDescent="0.3">
      <c r="A6" s="16">
        <v>2027</v>
      </c>
      <c r="B6" s="6">
        <v>281</v>
      </c>
      <c r="C6" s="20">
        <v>1.98732</v>
      </c>
      <c r="D6" s="10">
        <v>0.73465999999999998</v>
      </c>
      <c r="E6" s="20">
        <v>4.88828</v>
      </c>
      <c r="F6" s="10">
        <v>0.87710100000000002</v>
      </c>
      <c r="G6" s="20">
        <v>13.1776</v>
      </c>
      <c r="H6" s="10">
        <v>0.93947000000000003</v>
      </c>
      <c r="K6" s="32"/>
      <c r="L6" s="37"/>
      <c r="M6" s="34"/>
      <c r="N6" s="35"/>
      <c r="O6" s="35"/>
      <c r="P6" s="34"/>
      <c r="Q6" s="35"/>
      <c r="R6" s="35"/>
      <c r="S6" s="34"/>
      <c r="T6" s="35"/>
      <c r="U6" s="28"/>
      <c r="V6" s="32"/>
      <c r="W6" s="38"/>
      <c r="X6" s="34"/>
      <c r="Y6" s="35"/>
      <c r="Z6" s="36"/>
      <c r="AA6" s="34"/>
      <c r="AB6" s="35"/>
      <c r="AC6" s="36"/>
      <c r="AD6" s="34"/>
      <c r="AE6" s="35"/>
      <c r="AF6" s="28"/>
    </row>
    <row r="7" spans="1:32" x14ac:dyDescent="0.3">
      <c r="A7" s="16">
        <v>2028</v>
      </c>
      <c r="B7" s="6">
        <v>281</v>
      </c>
      <c r="C7" s="20">
        <v>1.97723</v>
      </c>
      <c r="D7" s="10">
        <v>0.73093300000000005</v>
      </c>
      <c r="E7" s="20">
        <v>4.8919199999999998</v>
      </c>
      <c r="F7" s="10">
        <v>0.87775599999999998</v>
      </c>
      <c r="G7" s="20">
        <v>13.218999999999999</v>
      </c>
      <c r="H7" s="10">
        <v>0.94242599999999999</v>
      </c>
      <c r="K7" s="32"/>
      <c r="L7" s="37"/>
      <c r="M7" s="34"/>
      <c r="N7" s="35"/>
      <c r="O7" s="35"/>
      <c r="P7" s="34"/>
      <c r="Q7" s="35"/>
      <c r="R7" s="35"/>
      <c r="S7" s="34"/>
      <c r="T7" s="35"/>
      <c r="U7" s="28"/>
      <c r="V7" s="32"/>
      <c r="W7" s="38"/>
      <c r="X7" s="34"/>
      <c r="Y7" s="35"/>
      <c r="Z7" s="36"/>
      <c r="AA7" s="34"/>
      <c r="AB7" s="35"/>
      <c r="AC7" s="36"/>
      <c r="AD7" s="34"/>
      <c r="AE7" s="35"/>
      <c r="AF7" s="28"/>
    </row>
    <row r="8" spans="1:32" x14ac:dyDescent="0.3">
      <c r="A8" s="16">
        <v>2029</v>
      </c>
      <c r="B8" s="6">
        <v>281</v>
      </c>
      <c r="C8" s="20">
        <v>1.9676800000000001</v>
      </c>
      <c r="D8" s="10">
        <v>0.72740000000000005</v>
      </c>
      <c r="E8" s="20">
        <v>4.8966000000000003</v>
      </c>
      <c r="F8" s="10">
        <v>0.87859399999999999</v>
      </c>
      <c r="G8" s="20">
        <v>13.263400000000001</v>
      </c>
      <c r="H8" s="10">
        <v>0.94558600000000004</v>
      </c>
      <c r="K8" s="32"/>
      <c r="L8" s="37"/>
      <c r="M8" s="34"/>
      <c r="N8" s="35"/>
      <c r="O8" s="35"/>
      <c r="P8" s="34"/>
      <c r="Q8" s="35"/>
      <c r="R8" s="35"/>
      <c r="S8" s="34"/>
      <c r="T8" s="35"/>
      <c r="U8" s="28"/>
      <c r="V8" s="32"/>
      <c r="W8" s="38"/>
      <c r="X8" s="34"/>
      <c r="Y8" s="35"/>
      <c r="Z8" s="36"/>
      <c r="AA8" s="34"/>
      <c r="AB8" s="35"/>
      <c r="AC8" s="36"/>
      <c r="AD8" s="34"/>
      <c r="AE8" s="35"/>
      <c r="AF8" s="28"/>
    </row>
    <row r="9" spans="1:32" x14ac:dyDescent="0.3">
      <c r="A9" s="16">
        <v>2030</v>
      </c>
      <c r="B9" s="6">
        <v>281</v>
      </c>
      <c r="C9" s="20">
        <v>1.9583999999999999</v>
      </c>
      <c r="D9" s="10">
        <v>0.72397100000000003</v>
      </c>
      <c r="E9" s="20">
        <v>4.9017299999999997</v>
      </c>
      <c r="F9" s="10">
        <v>0.87951500000000005</v>
      </c>
      <c r="G9" s="20">
        <v>13.308999999999999</v>
      </c>
      <c r="H9" s="10">
        <v>0.94884100000000005</v>
      </c>
      <c r="K9" s="32"/>
      <c r="L9" s="37"/>
      <c r="M9" s="34"/>
      <c r="N9" s="35"/>
      <c r="O9" s="35"/>
      <c r="P9" s="34"/>
      <c r="Q9" s="35"/>
      <c r="R9" s="35"/>
      <c r="S9" s="34"/>
      <c r="T9" s="35"/>
      <c r="U9" s="28"/>
      <c r="V9" s="32"/>
      <c r="W9" s="38"/>
      <c r="X9" s="34"/>
      <c r="Y9" s="35"/>
      <c r="Z9" s="36"/>
      <c r="AA9" s="34"/>
      <c r="AB9" s="35"/>
      <c r="AC9" s="36"/>
      <c r="AD9" s="34"/>
      <c r="AE9" s="35"/>
      <c r="AF9" s="28"/>
    </row>
    <row r="10" spans="1:32" x14ac:dyDescent="0.3">
      <c r="A10" s="16">
        <v>2031</v>
      </c>
      <c r="B10" s="6">
        <v>281</v>
      </c>
      <c r="C10" s="20">
        <v>1.94923</v>
      </c>
      <c r="D10" s="10">
        <v>0.72058</v>
      </c>
      <c r="E10" s="20">
        <v>4.9068899999999998</v>
      </c>
      <c r="F10" s="10">
        <v>0.88044100000000003</v>
      </c>
      <c r="G10" s="20">
        <v>13.354799999999999</v>
      </c>
      <c r="H10" s="10">
        <v>0.95210399999999995</v>
      </c>
      <c r="K10" s="32"/>
      <c r="L10" s="37"/>
      <c r="M10" s="34"/>
      <c r="N10" s="35"/>
      <c r="O10" s="35"/>
      <c r="P10" s="34"/>
      <c r="Q10" s="35"/>
      <c r="R10" s="35"/>
      <c r="S10" s="34"/>
      <c r="T10" s="35"/>
      <c r="U10" s="28"/>
      <c r="V10" s="32"/>
      <c r="W10" s="38"/>
      <c r="X10" s="34"/>
      <c r="Y10" s="35"/>
      <c r="Z10" s="36"/>
      <c r="AA10" s="34"/>
      <c r="AB10" s="35"/>
      <c r="AC10" s="36"/>
      <c r="AD10" s="34"/>
      <c r="AE10" s="35"/>
      <c r="AF10" s="28"/>
    </row>
    <row r="11" spans="1:32" x14ac:dyDescent="0.3">
      <c r="A11" s="16">
        <v>2032</v>
      </c>
      <c r="B11" s="6">
        <v>281</v>
      </c>
      <c r="C11" s="20">
        <v>1.93997</v>
      </c>
      <c r="D11" s="10">
        <v>0.71715899999999999</v>
      </c>
      <c r="E11" s="20">
        <v>4.9115900000000003</v>
      </c>
      <c r="F11" s="10">
        <v>0.88128399999999996</v>
      </c>
      <c r="G11" s="20">
        <v>13.3993</v>
      </c>
      <c r="H11" s="10">
        <v>0.95527700000000004</v>
      </c>
      <c r="K11" s="32"/>
      <c r="L11" s="37"/>
      <c r="M11" s="34"/>
      <c r="N11" s="35"/>
      <c r="O11" s="35"/>
      <c r="P11" s="34"/>
      <c r="Q11" s="35"/>
      <c r="R11" s="35"/>
      <c r="S11" s="34"/>
      <c r="T11" s="35"/>
      <c r="U11" s="28"/>
      <c r="V11" s="32"/>
      <c r="W11" s="38"/>
      <c r="X11" s="34"/>
      <c r="Y11" s="35"/>
      <c r="Z11" s="36"/>
      <c r="AA11" s="34"/>
      <c r="AB11" s="35"/>
      <c r="AC11" s="36"/>
      <c r="AD11" s="34"/>
      <c r="AE11" s="35"/>
      <c r="AF11" s="28"/>
    </row>
    <row r="12" spans="1:32" x14ac:dyDescent="0.3">
      <c r="A12" s="16">
        <v>2033</v>
      </c>
      <c r="B12" s="6">
        <v>281</v>
      </c>
      <c r="C12" s="20">
        <v>1.93042</v>
      </c>
      <c r="D12" s="10">
        <v>0.71362700000000001</v>
      </c>
      <c r="E12" s="20">
        <v>4.9152899999999997</v>
      </c>
      <c r="F12" s="10">
        <v>0.88194799999999995</v>
      </c>
      <c r="G12" s="20">
        <v>13.441000000000001</v>
      </c>
      <c r="H12" s="10">
        <v>0.95825199999999999</v>
      </c>
      <c r="K12" s="32"/>
      <c r="L12" s="37"/>
      <c r="M12" s="34"/>
      <c r="N12" s="35"/>
      <c r="O12" s="35"/>
      <c r="P12" s="34"/>
      <c r="Q12" s="35"/>
      <c r="R12" s="35"/>
      <c r="S12" s="34"/>
      <c r="T12" s="35"/>
      <c r="U12" s="28"/>
      <c r="V12" s="32"/>
      <c r="W12" s="38"/>
      <c r="X12" s="34"/>
      <c r="Y12" s="35"/>
      <c r="Z12" s="36"/>
      <c r="AA12" s="34"/>
      <c r="AB12" s="35"/>
      <c r="AC12" s="36"/>
      <c r="AD12" s="34"/>
      <c r="AE12" s="35"/>
      <c r="AF12" s="28"/>
    </row>
    <row r="13" spans="1:32" x14ac:dyDescent="0.3">
      <c r="A13" s="16">
        <v>2034</v>
      </c>
      <c r="B13" s="6">
        <v>281</v>
      </c>
      <c r="C13" s="20">
        <v>1.9203600000000001</v>
      </c>
      <c r="D13" s="10">
        <v>0.70991000000000004</v>
      </c>
      <c r="E13" s="20">
        <v>4.9174899999999999</v>
      </c>
      <c r="F13" s="10">
        <v>0.88234199999999996</v>
      </c>
      <c r="G13" s="20">
        <v>13.4786</v>
      </c>
      <c r="H13" s="10">
        <v>0.96092699999999998</v>
      </c>
      <c r="K13" s="32"/>
      <c r="L13" s="37"/>
      <c r="M13" s="34"/>
      <c r="N13" s="35"/>
      <c r="O13" s="35"/>
      <c r="P13" s="34"/>
      <c r="Q13" s="35"/>
      <c r="R13" s="35"/>
      <c r="S13" s="34"/>
      <c r="T13" s="35"/>
      <c r="U13" s="28"/>
      <c r="V13" s="32"/>
      <c r="W13" s="38"/>
      <c r="X13" s="34"/>
      <c r="Y13" s="35"/>
      <c r="Z13" s="36"/>
      <c r="AA13" s="34"/>
      <c r="AB13" s="35"/>
      <c r="AC13" s="36"/>
      <c r="AD13" s="34"/>
      <c r="AE13" s="35"/>
      <c r="AF13" s="28"/>
    </row>
    <row r="14" spans="1:32" x14ac:dyDescent="0.3">
      <c r="A14" s="16">
        <v>2035</v>
      </c>
      <c r="B14" s="6">
        <v>281</v>
      </c>
      <c r="C14" s="20">
        <v>1.9096500000000001</v>
      </c>
      <c r="D14" s="10">
        <v>0.70594900000000005</v>
      </c>
      <c r="E14" s="20">
        <v>4.9177999999999997</v>
      </c>
      <c r="F14" s="10">
        <v>0.88239800000000002</v>
      </c>
      <c r="G14" s="20">
        <v>13.5108</v>
      </c>
      <c r="H14" s="10">
        <v>0.96322399999999997</v>
      </c>
      <c r="K14" s="32"/>
      <c r="L14" s="37"/>
      <c r="M14" s="34"/>
      <c r="N14" s="35"/>
      <c r="O14" s="35"/>
      <c r="P14" s="34"/>
      <c r="Q14" s="35"/>
      <c r="R14" s="35"/>
      <c r="S14" s="34"/>
      <c r="T14" s="35"/>
      <c r="U14" s="28"/>
      <c r="V14" s="32"/>
      <c r="W14" s="38"/>
      <c r="X14" s="34"/>
      <c r="Y14" s="35"/>
      <c r="Z14" s="36"/>
      <c r="AA14" s="34"/>
      <c r="AB14" s="35"/>
      <c r="AC14" s="36"/>
      <c r="AD14" s="34"/>
      <c r="AE14" s="35"/>
      <c r="AF14" s="28"/>
    </row>
    <row r="15" spans="1:32" x14ac:dyDescent="0.3">
      <c r="A15" s="17">
        <v>2036</v>
      </c>
      <c r="B15" s="5">
        <v>281</v>
      </c>
      <c r="C15" s="22">
        <v>1.89819</v>
      </c>
      <c r="D15" s="11">
        <v>0.70171499999999998</v>
      </c>
      <c r="E15" s="21">
        <v>4.91601</v>
      </c>
      <c r="F15" s="11">
        <v>0.88207800000000003</v>
      </c>
      <c r="G15" s="21">
        <v>13.537100000000001</v>
      </c>
      <c r="H15" s="11">
        <v>0.96509999999999996</v>
      </c>
      <c r="K15" s="32"/>
      <c r="L15" s="37"/>
      <c r="M15" s="34"/>
      <c r="N15" s="35"/>
      <c r="O15" s="35"/>
      <c r="P15" s="34"/>
      <c r="Q15" s="35"/>
      <c r="R15" s="35"/>
      <c r="S15" s="34"/>
      <c r="T15" s="35"/>
      <c r="U15" s="28"/>
      <c r="V15" s="32"/>
      <c r="W15" s="38"/>
      <c r="X15" s="34"/>
      <c r="Y15" s="35"/>
      <c r="Z15" s="36"/>
      <c r="AA15" s="34"/>
      <c r="AB15" s="35"/>
      <c r="AC15" s="36"/>
      <c r="AD15" s="34"/>
      <c r="AE15" s="35"/>
      <c r="AF15" s="28"/>
    </row>
    <row r="16" spans="1:32" x14ac:dyDescent="0.3">
      <c r="K16" s="28" t="s">
        <v>16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 t="s">
        <v>17</v>
      </c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1:31" x14ac:dyDescent="0.3">
      <c r="K17" t="s">
        <v>7</v>
      </c>
      <c r="O17" s="18"/>
      <c r="P17" s="18"/>
      <c r="Q17" s="18"/>
      <c r="R17" s="18"/>
      <c r="S17" s="18"/>
      <c r="T17" s="18"/>
      <c r="V17" t="s">
        <v>12</v>
      </c>
      <c r="Z17" s="18"/>
      <c r="AA17" s="18"/>
      <c r="AB17" s="18"/>
      <c r="AC17" s="18"/>
      <c r="AD17" s="18"/>
      <c r="AE17" s="18"/>
    </row>
    <row r="18" spans="11:31" x14ac:dyDescent="0.3">
      <c r="K18" s="13"/>
      <c r="L18" s="41" t="s">
        <v>13</v>
      </c>
      <c r="M18" s="41"/>
      <c r="N18" s="41"/>
      <c r="O18" s="41" t="s">
        <v>14</v>
      </c>
      <c r="P18" s="41"/>
      <c r="Q18" s="39"/>
      <c r="R18" s="39" t="s">
        <v>15</v>
      </c>
      <c r="S18" s="39"/>
      <c r="T18" s="40"/>
      <c r="V18" s="13"/>
      <c r="W18" s="41" t="s">
        <v>13</v>
      </c>
      <c r="X18" s="41"/>
      <c r="Y18" s="41"/>
      <c r="Z18" s="41" t="s">
        <v>14</v>
      </c>
      <c r="AA18" s="41"/>
      <c r="AB18" s="41"/>
      <c r="AC18" s="39" t="s">
        <v>15</v>
      </c>
      <c r="AD18" s="39"/>
      <c r="AE18" s="40"/>
    </row>
    <row r="19" spans="11:31" ht="55.2" x14ac:dyDescent="0.3">
      <c r="K19" s="14" t="s">
        <v>0</v>
      </c>
      <c r="L19" s="2" t="s">
        <v>1</v>
      </c>
      <c r="M19" s="2" t="s">
        <v>3</v>
      </c>
      <c r="N19" s="3" t="s">
        <v>2</v>
      </c>
      <c r="O19" s="3" t="s">
        <v>8</v>
      </c>
      <c r="P19" s="2" t="s">
        <v>3</v>
      </c>
      <c r="Q19" s="3" t="s">
        <v>2</v>
      </c>
      <c r="R19" s="3" t="s">
        <v>8</v>
      </c>
      <c r="S19" s="2" t="s">
        <v>3</v>
      </c>
      <c r="T19" s="4" t="s">
        <v>2</v>
      </c>
      <c r="V19" s="14" t="s">
        <v>0</v>
      </c>
      <c r="W19" s="2" t="s">
        <v>1</v>
      </c>
      <c r="X19" s="2" t="s">
        <v>3</v>
      </c>
      <c r="Y19" s="3" t="s">
        <v>2</v>
      </c>
      <c r="Z19" s="3" t="s">
        <v>8</v>
      </c>
      <c r="AA19" s="2" t="s">
        <v>3</v>
      </c>
      <c r="AB19" s="3" t="s">
        <v>2</v>
      </c>
      <c r="AC19" s="3" t="s">
        <v>8</v>
      </c>
      <c r="AD19" s="2" t="s">
        <v>3</v>
      </c>
      <c r="AE19" s="4" t="s">
        <v>2</v>
      </c>
    </row>
    <row r="20" spans="11:31" x14ac:dyDescent="0.3">
      <c r="K20" s="15">
        <v>2025</v>
      </c>
      <c r="L20" s="7">
        <v>155.1</v>
      </c>
      <c r="M20" s="19">
        <v>1.9836800000000001</v>
      </c>
      <c r="N20" s="9">
        <v>0.733317</v>
      </c>
      <c r="O20" s="9">
        <v>155.1</v>
      </c>
      <c r="P20" s="19">
        <v>4.8600700000000003</v>
      </c>
      <c r="Q20" s="9">
        <v>0.87204000000000004</v>
      </c>
      <c r="R20" s="9">
        <v>155.1</v>
      </c>
      <c r="S20" s="19">
        <v>13.084</v>
      </c>
      <c r="T20" s="10">
        <v>0.93284999999999996</v>
      </c>
      <c r="V20" s="15">
        <v>2025</v>
      </c>
      <c r="W20" s="7">
        <v>155.1</v>
      </c>
      <c r="X20" s="19">
        <v>1.9836800000000001</v>
      </c>
      <c r="Y20" s="9">
        <v>0.733317</v>
      </c>
      <c r="Z20" s="25">
        <v>155.1</v>
      </c>
      <c r="AA20" s="19">
        <v>4.8600700000000003</v>
      </c>
      <c r="AB20" s="9">
        <v>0.87204000000000004</v>
      </c>
      <c r="AC20" s="25">
        <v>155.1</v>
      </c>
      <c r="AD20" s="19">
        <v>13.0847</v>
      </c>
      <c r="AE20" s="10">
        <v>0.93284999999999996</v>
      </c>
    </row>
    <row r="21" spans="11:31" x14ac:dyDescent="0.3">
      <c r="K21" s="16">
        <v>2026</v>
      </c>
      <c r="L21" s="8">
        <v>186.7</v>
      </c>
      <c r="M21" s="20">
        <v>1.9867900000000001</v>
      </c>
      <c r="N21" s="10">
        <v>0.73446599999999995</v>
      </c>
      <c r="O21" s="10">
        <v>186.7</v>
      </c>
      <c r="P21" s="20">
        <v>4.8747299999999996</v>
      </c>
      <c r="Q21" s="10">
        <v>0.87466999999999995</v>
      </c>
      <c r="R21" s="10">
        <v>186.7</v>
      </c>
      <c r="S21" s="20">
        <v>13.129</v>
      </c>
      <c r="T21" s="10">
        <v>0.93601999999999996</v>
      </c>
      <c r="V21" s="16">
        <v>2026</v>
      </c>
      <c r="W21" s="8">
        <v>186.7</v>
      </c>
      <c r="X21" s="20">
        <v>1.9867900000000001</v>
      </c>
      <c r="Y21" s="10">
        <v>0.73446599999999995</v>
      </c>
      <c r="Z21" s="26">
        <v>186.7</v>
      </c>
      <c r="AA21" s="20">
        <v>4.8747299999999996</v>
      </c>
      <c r="AB21" s="10">
        <v>0.87467200000000001</v>
      </c>
      <c r="AC21" s="26">
        <v>186.7</v>
      </c>
      <c r="AD21" s="20">
        <v>13.129300000000001</v>
      </c>
      <c r="AE21" s="10">
        <v>0.93602700000000005</v>
      </c>
    </row>
    <row r="22" spans="11:31" x14ac:dyDescent="0.3">
      <c r="K22" s="16">
        <v>2027</v>
      </c>
      <c r="L22" s="6">
        <v>325.98599999999999</v>
      </c>
      <c r="M22" s="20">
        <v>1.98732</v>
      </c>
      <c r="N22" s="10">
        <v>0.73465999999999998</v>
      </c>
      <c r="O22" s="10">
        <v>881.5</v>
      </c>
      <c r="P22" s="20">
        <v>4.8882700000000003</v>
      </c>
      <c r="Q22" s="10">
        <v>0.87709999999999999</v>
      </c>
      <c r="R22" s="10">
        <v>2372.14</v>
      </c>
      <c r="S22" s="20">
        <v>13.177</v>
      </c>
      <c r="T22" s="10">
        <v>0.93947000000000003</v>
      </c>
      <c r="V22" s="16">
        <v>2027</v>
      </c>
      <c r="W22" s="23">
        <v>881.5</v>
      </c>
      <c r="X22" s="20">
        <v>1.98732</v>
      </c>
      <c r="Y22" s="10">
        <v>0.73465999999999998</v>
      </c>
      <c r="Z22" s="26">
        <v>843.85199999999998</v>
      </c>
      <c r="AA22" s="20">
        <v>4.8882700000000003</v>
      </c>
      <c r="AB22" s="10">
        <v>0.87709999999999999</v>
      </c>
      <c r="AC22" s="26">
        <v>881.5</v>
      </c>
      <c r="AD22" s="20">
        <v>13.1776</v>
      </c>
      <c r="AE22" s="10">
        <v>0.93947000000000003</v>
      </c>
    </row>
    <row r="23" spans="11:31" x14ac:dyDescent="0.3">
      <c r="K23" s="16">
        <v>2028</v>
      </c>
      <c r="L23" s="6">
        <v>320.85399999999998</v>
      </c>
      <c r="M23" s="20">
        <v>1.97156</v>
      </c>
      <c r="N23" s="10">
        <v>0.73093300000000005</v>
      </c>
      <c r="O23" s="10">
        <v>865.88</v>
      </c>
      <c r="P23" s="20">
        <v>4.8167499999999999</v>
      </c>
      <c r="Q23" s="10">
        <v>0.86426000000000003</v>
      </c>
      <c r="R23" s="10">
        <v>2313.8000000000002</v>
      </c>
      <c r="S23" s="20">
        <v>12.955</v>
      </c>
      <c r="T23" s="10">
        <v>0.92362999999999995</v>
      </c>
      <c r="V23" s="16">
        <v>2028</v>
      </c>
      <c r="W23" s="23">
        <v>865.88</v>
      </c>
      <c r="X23" s="20">
        <v>1.90828</v>
      </c>
      <c r="Y23" s="10">
        <v>0.70544200000000001</v>
      </c>
      <c r="Z23" s="26">
        <v>825.65499999999997</v>
      </c>
      <c r="AA23" s="20">
        <v>4.8214499999999996</v>
      </c>
      <c r="AB23" s="10">
        <v>0.86511000000000005</v>
      </c>
      <c r="AC23" s="26">
        <v>865.88</v>
      </c>
      <c r="AD23" s="20">
        <v>13.148300000000001</v>
      </c>
      <c r="AE23" s="10">
        <v>0.93738200000000005</v>
      </c>
    </row>
    <row r="24" spans="11:31" x14ac:dyDescent="0.3">
      <c r="K24" s="16">
        <v>2029</v>
      </c>
      <c r="L24" s="6">
        <v>316.12900000000002</v>
      </c>
      <c r="M24" s="20">
        <v>1.9570399999999999</v>
      </c>
      <c r="N24" s="10">
        <v>0.72740000000000005</v>
      </c>
      <c r="O24" s="10">
        <v>849.55</v>
      </c>
      <c r="P24" s="20">
        <v>4.74871</v>
      </c>
      <c r="Q24" s="10">
        <v>0.85204999999999997</v>
      </c>
      <c r="R24" s="10">
        <v>2259.65</v>
      </c>
      <c r="S24" s="20">
        <v>12.744999999999999</v>
      </c>
      <c r="T24" s="10">
        <v>0.90866999999999998</v>
      </c>
      <c r="V24" s="16">
        <v>2029</v>
      </c>
      <c r="W24" s="23">
        <v>849.55</v>
      </c>
      <c r="X24" s="20">
        <v>1.8321499999999999</v>
      </c>
      <c r="Y24" s="10">
        <v>0.67729899999999998</v>
      </c>
      <c r="Z24" s="26">
        <v>808.75199999999995</v>
      </c>
      <c r="AA24" s="20">
        <v>4.7584</v>
      </c>
      <c r="AB24" s="10">
        <v>0.85379799999999995</v>
      </c>
      <c r="AC24" s="26">
        <v>849.55</v>
      </c>
      <c r="AD24" s="20">
        <v>13.124599999999999</v>
      </c>
      <c r="AE24" s="10">
        <v>0.93569199999999997</v>
      </c>
    </row>
    <row r="25" spans="11:31" x14ac:dyDescent="0.3">
      <c r="K25" s="16">
        <v>2030</v>
      </c>
      <c r="L25" s="6">
        <v>311.44</v>
      </c>
      <c r="M25" s="20">
        <v>1.94346</v>
      </c>
      <c r="N25" s="10">
        <v>0.72397100000000003</v>
      </c>
      <c r="O25" s="10">
        <v>833.53</v>
      </c>
      <c r="P25" s="20">
        <v>4.6837099999999996</v>
      </c>
      <c r="Q25" s="10">
        <v>0.84038999999999997</v>
      </c>
      <c r="R25" s="10">
        <v>2207</v>
      </c>
      <c r="S25" s="20">
        <v>12.545999999999999</v>
      </c>
      <c r="T25" s="10">
        <v>0.89446999999999999</v>
      </c>
      <c r="V25" s="16">
        <v>2030</v>
      </c>
      <c r="W25" s="23">
        <v>833.53</v>
      </c>
      <c r="X25" s="20">
        <v>1.75857</v>
      </c>
      <c r="Y25" s="10">
        <v>0.65009700000000004</v>
      </c>
      <c r="Z25" s="26">
        <v>792.19500000000005</v>
      </c>
      <c r="AA25" s="20">
        <v>4.6984399999999997</v>
      </c>
      <c r="AB25" s="10">
        <v>0.84303899999999998</v>
      </c>
      <c r="AC25" s="26">
        <v>833.53</v>
      </c>
      <c r="AD25" s="20">
        <v>13.104799999999999</v>
      </c>
      <c r="AE25" s="10">
        <v>0.93428299999999997</v>
      </c>
    </row>
    <row r="26" spans="11:31" x14ac:dyDescent="0.3">
      <c r="K26" s="16">
        <v>2031</v>
      </c>
      <c r="L26" s="6">
        <v>306.786</v>
      </c>
      <c r="M26" s="20">
        <v>1.93065</v>
      </c>
      <c r="N26" s="10">
        <v>0.72058</v>
      </c>
      <c r="O26" s="10">
        <v>817.84</v>
      </c>
      <c r="P26" s="20">
        <v>4.6213499999999996</v>
      </c>
      <c r="Q26" s="10">
        <v>0.82920000000000005</v>
      </c>
      <c r="R26" s="10">
        <v>2155.83</v>
      </c>
      <c r="S26" s="20">
        <v>12.356</v>
      </c>
      <c r="T26" s="10">
        <v>0.88092000000000004</v>
      </c>
      <c r="V26" s="16">
        <v>2031</v>
      </c>
      <c r="W26" s="23">
        <v>817.84</v>
      </c>
      <c r="X26" s="20">
        <v>1.6874100000000001</v>
      </c>
      <c r="Y26" s="10">
        <v>0.62379399999999996</v>
      </c>
      <c r="Z26" s="26">
        <v>775.98299999999995</v>
      </c>
      <c r="AA26" s="20">
        <v>4.6411300000000004</v>
      </c>
      <c r="AB26" s="10">
        <v>0.83275600000000005</v>
      </c>
      <c r="AC26" s="26">
        <v>817.84</v>
      </c>
      <c r="AD26" s="20">
        <v>13.0878</v>
      </c>
      <c r="AE26" s="10">
        <v>0.93306900000000004</v>
      </c>
    </row>
    <row r="27" spans="11:31" x14ac:dyDescent="0.3">
      <c r="K27" s="16">
        <v>2032</v>
      </c>
      <c r="L27" s="6">
        <v>302.13900000000001</v>
      </c>
      <c r="M27" s="20">
        <v>1.9184000000000001</v>
      </c>
      <c r="N27" s="10">
        <v>0.71715899999999999</v>
      </c>
      <c r="O27" s="10">
        <v>803.31</v>
      </c>
      <c r="P27" s="20">
        <v>4.5611800000000002</v>
      </c>
      <c r="Q27" s="10">
        <v>0.81840999999999997</v>
      </c>
      <c r="R27" s="10">
        <v>2105.9</v>
      </c>
      <c r="S27" s="20">
        <v>12.173999999999999</v>
      </c>
      <c r="T27" s="10">
        <v>0.86795</v>
      </c>
      <c r="V27" s="16">
        <v>2032</v>
      </c>
      <c r="W27" s="23">
        <v>803.31</v>
      </c>
      <c r="X27" s="20">
        <v>1.6185799999999999</v>
      </c>
      <c r="Y27" s="10">
        <v>0.59834900000000002</v>
      </c>
      <c r="Z27" s="26">
        <v>760.04200000000003</v>
      </c>
      <c r="AA27" s="20">
        <v>4.5860300000000001</v>
      </c>
      <c r="AB27" s="10">
        <v>0.82286999999999999</v>
      </c>
      <c r="AC27" s="26">
        <v>803.31</v>
      </c>
      <c r="AD27" s="20">
        <v>13.0722</v>
      </c>
      <c r="AE27" s="10">
        <v>0.93195700000000004</v>
      </c>
    </row>
    <row r="28" spans="11:31" x14ac:dyDescent="0.3">
      <c r="K28" s="16">
        <v>2033</v>
      </c>
      <c r="L28" s="6">
        <v>297.82400000000001</v>
      </c>
      <c r="M28" s="20">
        <v>1.9065000000000001</v>
      </c>
      <c r="N28" s="10">
        <v>0.71362700000000001</v>
      </c>
      <c r="O28" s="10">
        <v>787.99</v>
      </c>
      <c r="P28" s="20">
        <v>4.5026099999999998</v>
      </c>
      <c r="Q28" s="10">
        <v>0.80789999999999995</v>
      </c>
      <c r="R28" s="10">
        <v>2059.4</v>
      </c>
      <c r="S28" s="20">
        <v>11.999000000000001</v>
      </c>
      <c r="T28" s="10">
        <v>0.85543999999999998</v>
      </c>
      <c r="V28" s="16">
        <v>2033</v>
      </c>
      <c r="W28" s="23">
        <v>787.99</v>
      </c>
      <c r="X28" s="20">
        <v>1.55193</v>
      </c>
      <c r="Y28" s="10">
        <v>0.57371099999999997</v>
      </c>
      <c r="Z28" s="26">
        <v>745.17600000000004</v>
      </c>
      <c r="AA28" s="20">
        <v>4.5326500000000003</v>
      </c>
      <c r="AB28" s="10">
        <v>0.81329200000000001</v>
      </c>
      <c r="AC28" s="26">
        <v>787.99</v>
      </c>
      <c r="AD28" s="20">
        <v>13.0566</v>
      </c>
      <c r="AE28" s="10">
        <v>0.93084199999999995</v>
      </c>
    </row>
    <row r="29" spans="11:31" x14ac:dyDescent="0.3">
      <c r="K29" s="16">
        <v>2034</v>
      </c>
      <c r="L29" s="6">
        <v>293.08499999999998</v>
      </c>
      <c r="M29" s="20">
        <v>1.8947099999999999</v>
      </c>
      <c r="N29" s="10">
        <v>0.70991000000000004</v>
      </c>
      <c r="O29" s="10">
        <v>773.63</v>
      </c>
      <c r="P29" s="20">
        <v>4.4452999999999996</v>
      </c>
      <c r="Q29" s="10">
        <v>0.79761000000000004</v>
      </c>
      <c r="R29" s="10">
        <v>2011.06</v>
      </c>
      <c r="S29" s="20">
        <v>11.827999999999999</v>
      </c>
      <c r="T29" s="10">
        <v>0.84328999999999998</v>
      </c>
      <c r="V29" s="16">
        <v>2034</v>
      </c>
      <c r="W29" s="23">
        <v>773.63</v>
      </c>
      <c r="X29" s="20">
        <v>1.4872099999999999</v>
      </c>
      <c r="Y29" s="10">
        <v>0.54978400000000005</v>
      </c>
      <c r="Z29" s="26">
        <v>729.48900000000003</v>
      </c>
      <c r="AA29" s="20">
        <v>4.48041</v>
      </c>
      <c r="AB29" s="10">
        <v>0.80391800000000002</v>
      </c>
      <c r="AC29" s="26">
        <v>773.63</v>
      </c>
      <c r="AD29" s="20">
        <v>13.039400000000001</v>
      </c>
      <c r="AE29" s="10">
        <v>0.92962</v>
      </c>
    </row>
    <row r="30" spans="11:31" x14ac:dyDescent="0.3">
      <c r="K30" s="16">
        <v>2035</v>
      </c>
      <c r="L30" s="6">
        <v>288.29399999999998</v>
      </c>
      <c r="M30" s="20">
        <v>1.8829100000000001</v>
      </c>
      <c r="N30" s="10">
        <v>0.70594900000000005</v>
      </c>
      <c r="O30" s="10">
        <v>758.44</v>
      </c>
      <c r="P30" s="20">
        <v>4.3887999999999998</v>
      </c>
      <c r="Q30" s="10">
        <v>0.78747999999999996</v>
      </c>
      <c r="R30" s="10">
        <v>1963.43</v>
      </c>
      <c r="S30" s="20">
        <v>11.662000000000001</v>
      </c>
      <c r="T30" s="10">
        <v>0.83145000000000002</v>
      </c>
      <c r="V30" s="16">
        <v>2035</v>
      </c>
      <c r="W30" s="23">
        <v>758.44</v>
      </c>
      <c r="X30" s="20">
        <v>1.42441</v>
      </c>
      <c r="Y30" s="10">
        <v>0.52656899999999995</v>
      </c>
      <c r="Z30" s="26">
        <v>713.91499999999996</v>
      </c>
      <c r="AA30" s="20">
        <v>4.4290799999999999</v>
      </c>
      <c r="AB30" s="10">
        <v>0.79470700000000005</v>
      </c>
      <c r="AC30" s="26">
        <v>758.44</v>
      </c>
      <c r="AD30" s="20">
        <v>13.0198</v>
      </c>
      <c r="AE30" s="10">
        <v>0.92822300000000002</v>
      </c>
    </row>
    <row r="31" spans="11:31" x14ac:dyDescent="0.3">
      <c r="K31" s="17">
        <v>2036</v>
      </c>
      <c r="L31" s="5">
        <v>283.82900000000001</v>
      </c>
      <c r="M31" s="22">
        <v>1.87103</v>
      </c>
      <c r="N31" s="11">
        <v>0.70171499999999998</v>
      </c>
      <c r="O31" s="11">
        <v>744.28</v>
      </c>
      <c r="P31" s="21">
        <v>4.3330799999999998</v>
      </c>
      <c r="Q31" s="11">
        <v>0.77747999999999995</v>
      </c>
      <c r="R31" s="11">
        <v>1919.07</v>
      </c>
      <c r="S31" s="21">
        <v>11.5</v>
      </c>
      <c r="T31" s="11">
        <v>0.81988000000000005</v>
      </c>
      <c r="V31" s="17">
        <v>2036</v>
      </c>
      <c r="W31" s="24">
        <v>744.28</v>
      </c>
      <c r="X31" s="22">
        <v>1.36351</v>
      </c>
      <c r="Y31" s="11">
        <v>0.50405599999999995</v>
      </c>
      <c r="Z31" s="27">
        <v>699.38699999999994</v>
      </c>
      <c r="AA31" s="21">
        <v>4.3784999999999998</v>
      </c>
      <c r="AB31" s="11">
        <v>0.78563300000000003</v>
      </c>
      <c r="AC31" s="27">
        <v>744.28</v>
      </c>
      <c r="AD31" s="21">
        <v>12.997299999999999</v>
      </c>
      <c r="AE31" s="11">
        <v>0.92661400000000005</v>
      </c>
    </row>
  </sheetData>
  <mergeCells count="16">
    <mergeCell ref="W2:Y2"/>
    <mergeCell ref="Z2:AB2"/>
    <mergeCell ref="AC2:AE2"/>
    <mergeCell ref="C1:H1"/>
    <mergeCell ref="C2:D2"/>
    <mergeCell ref="E2:F2"/>
    <mergeCell ref="G2:H2"/>
    <mergeCell ref="L2:N2"/>
    <mergeCell ref="O2:Q2"/>
    <mergeCell ref="R2:T2"/>
    <mergeCell ref="AC18:AE18"/>
    <mergeCell ref="L18:N18"/>
    <mergeCell ref="O18:Q18"/>
    <mergeCell ref="R18:T18"/>
    <mergeCell ref="W18:Y18"/>
    <mergeCell ref="Z18:A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4F7D-62A7-42BD-A52E-474516A93CFE}">
  <dimension ref="B1:P73"/>
  <sheetViews>
    <sheetView workbookViewId="0">
      <selection activeCell="I13" sqref="I13"/>
    </sheetView>
  </sheetViews>
  <sheetFormatPr defaultRowHeight="14.4" x14ac:dyDescent="0.3"/>
  <sheetData>
    <row r="1" spans="2:16" x14ac:dyDescent="0.3">
      <c r="B1" t="s">
        <v>0</v>
      </c>
      <c r="C1" t="s">
        <v>11</v>
      </c>
      <c r="D1" t="s">
        <v>9</v>
      </c>
      <c r="E1" t="s">
        <v>10</v>
      </c>
      <c r="J1">
        <v>0.21276595744680851</v>
      </c>
      <c r="K1">
        <v>6.4474532559638954E-4</v>
      </c>
      <c r="L1">
        <v>0.3339780786589297</v>
      </c>
      <c r="M1">
        <v>1.9987105093488073E-2</v>
      </c>
      <c r="N1">
        <v>0.15602836879432624</v>
      </c>
      <c r="O1">
        <v>0.27659574468085107</v>
      </c>
    </row>
    <row r="2" spans="2:16" x14ac:dyDescent="0.3">
      <c r="B2">
        <v>2025</v>
      </c>
      <c r="C2">
        <v>1</v>
      </c>
      <c r="D2">
        <v>1</v>
      </c>
      <c r="E2">
        <v>33</v>
      </c>
      <c r="F2">
        <f>E2/SUM($E$2:$E$7)</f>
        <v>0.21276595744680851</v>
      </c>
      <c r="I2" s="9">
        <v>155.1</v>
      </c>
      <c r="J2">
        <f>$I2*J$1</f>
        <v>33</v>
      </c>
      <c r="K2">
        <f t="shared" ref="K2:O13" si="0">$I2*K$1</f>
        <v>0.10000000000000002</v>
      </c>
      <c r="L2">
        <f t="shared" si="0"/>
        <v>51.8</v>
      </c>
      <c r="M2">
        <f t="shared" si="0"/>
        <v>3.1</v>
      </c>
      <c r="N2">
        <f t="shared" si="0"/>
        <v>24.2</v>
      </c>
      <c r="O2">
        <f t="shared" si="0"/>
        <v>42.9</v>
      </c>
      <c r="P2">
        <f>SUM(J2:O2)</f>
        <v>155.1</v>
      </c>
    </row>
    <row r="3" spans="2:16" x14ac:dyDescent="0.3">
      <c r="B3">
        <v>2025</v>
      </c>
      <c r="C3">
        <v>1</v>
      </c>
      <c r="D3">
        <v>2</v>
      </c>
      <c r="E3">
        <v>0.1</v>
      </c>
      <c r="F3">
        <f t="shared" ref="F3:F7" si="1">E3/SUM($E$2:$E$7)</f>
        <v>6.4474532559638954E-4</v>
      </c>
      <c r="I3" s="10">
        <v>186.7</v>
      </c>
      <c r="J3">
        <f t="shared" ref="J3:J13" si="2">$I3*J$1</f>
        <v>39.723404255319146</v>
      </c>
      <c r="K3">
        <f t="shared" si="0"/>
        <v>0.12037395228884593</v>
      </c>
      <c r="L3">
        <f t="shared" si="0"/>
        <v>62.353707285622171</v>
      </c>
      <c r="M3">
        <f t="shared" si="0"/>
        <v>3.7315925209542229</v>
      </c>
      <c r="N3">
        <f t="shared" si="0"/>
        <v>29.130496453900708</v>
      </c>
      <c r="O3">
        <f t="shared" si="0"/>
        <v>51.640425531914893</v>
      </c>
      <c r="P3">
        <f t="shared" ref="P3:P13" si="3">SUM(J3:O3)</f>
        <v>186.7</v>
      </c>
    </row>
    <row r="4" spans="2:16" x14ac:dyDescent="0.3">
      <c r="B4">
        <v>2025</v>
      </c>
      <c r="C4">
        <v>1</v>
      </c>
      <c r="D4">
        <v>3</v>
      </c>
      <c r="E4">
        <v>51.8</v>
      </c>
      <c r="F4">
        <f t="shared" si="1"/>
        <v>0.3339780786589297</v>
      </c>
      <c r="I4" s="10">
        <v>881.5</v>
      </c>
      <c r="J4">
        <f t="shared" si="2"/>
        <v>187.55319148936169</v>
      </c>
      <c r="K4">
        <f t="shared" si="0"/>
        <v>0.5683430045132174</v>
      </c>
      <c r="L4">
        <f t="shared" si="0"/>
        <v>294.40167633784654</v>
      </c>
      <c r="M4">
        <f t="shared" si="0"/>
        <v>17.618633139909736</v>
      </c>
      <c r="N4">
        <f t="shared" si="0"/>
        <v>137.53900709219857</v>
      </c>
      <c r="O4">
        <f t="shared" si="0"/>
        <v>243.81914893617022</v>
      </c>
      <c r="P4">
        <f t="shared" si="3"/>
        <v>881.5</v>
      </c>
    </row>
    <row r="5" spans="2:16" x14ac:dyDescent="0.3">
      <c r="B5">
        <v>2025</v>
      </c>
      <c r="C5">
        <v>1</v>
      </c>
      <c r="D5">
        <v>4</v>
      </c>
      <c r="E5">
        <v>3.1</v>
      </c>
      <c r="F5">
        <f t="shared" si="1"/>
        <v>1.9987105093488073E-2</v>
      </c>
      <c r="I5" s="10">
        <v>865.88</v>
      </c>
      <c r="J5">
        <f t="shared" si="2"/>
        <v>184.22978723404256</v>
      </c>
      <c r="K5">
        <f t="shared" si="0"/>
        <v>0.55827208252740179</v>
      </c>
      <c r="L5">
        <f t="shared" si="0"/>
        <v>289.18493874919403</v>
      </c>
      <c r="M5">
        <f t="shared" si="0"/>
        <v>17.306434558349451</v>
      </c>
      <c r="N5">
        <f t="shared" si="0"/>
        <v>135.10184397163121</v>
      </c>
      <c r="O5">
        <f t="shared" si="0"/>
        <v>239.49872340425532</v>
      </c>
      <c r="P5">
        <f t="shared" si="3"/>
        <v>865.88</v>
      </c>
    </row>
    <row r="6" spans="2:16" x14ac:dyDescent="0.3">
      <c r="B6">
        <v>2025</v>
      </c>
      <c r="C6">
        <v>1</v>
      </c>
      <c r="D6">
        <v>5</v>
      </c>
      <c r="E6">
        <v>24.2</v>
      </c>
      <c r="F6">
        <f t="shared" si="1"/>
        <v>0.15602836879432624</v>
      </c>
      <c r="I6" s="10">
        <v>849.55</v>
      </c>
      <c r="J6">
        <f t="shared" si="2"/>
        <v>180.75531914893617</v>
      </c>
      <c r="K6">
        <f t="shared" si="0"/>
        <v>0.54774339136041272</v>
      </c>
      <c r="L6">
        <f t="shared" si="0"/>
        <v>283.73107672469371</v>
      </c>
      <c r="M6">
        <f t="shared" si="0"/>
        <v>16.980045132172791</v>
      </c>
      <c r="N6">
        <f t="shared" si="0"/>
        <v>132.55390070921985</v>
      </c>
      <c r="O6">
        <f t="shared" si="0"/>
        <v>234.98191489361702</v>
      </c>
      <c r="P6">
        <f t="shared" si="3"/>
        <v>849.55</v>
      </c>
    </row>
    <row r="7" spans="2:16" x14ac:dyDescent="0.3">
      <c r="B7">
        <v>2025</v>
      </c>
      <c r="C7">
        <v>1</v>
      </c>
      <c r="D7">
        <v>6</v>
      </c>
      <c r="E7">
        <v>42.9</v>
      </c>
      <c r="F7">
        <f t="shared" si="1"/>
        <v>0.27659574468085107</v>
      </c>
      <c r="G7">
        <f>SUM(F2:F7)</f>
        <v>1</v>
      </c>
      <c r="I7" s="10">
        <v>833.53</v>
      </c>
      <c r="J7">
        <f t="shared" si="2"/>
        <v>177.34680851063828</v>
      </c>
      <c r="K7">
        <f t="shared" si="0"/>
        <v>0.53741457124435854</v>
      </c>
      <c r="L7">
        <f t="shared" si="0"/>
        <v>278.38074790457767</v>
      </c>
      <c r="M7">
        <f t="shared" si="0"/>
        <v>16.659851708575111</v>
      </c>
      <c r="N7">
        <f t="shared" si="0"/>
        <v>130.05432624113476</v>
      </c>
      <c r="O7">
        <f t="shared" si="0"/>
        <v>230.55085106382978</v>
      </c>
      <c r="P7">
        <f t="shared" si="3"/>
        <v>833.53</v>
      </c>
    </row>
    <row r="8" spans="2:16" x14ac:dyDescent="0.3">
      <c r="B8">
        <v>2026</v>
      </c>
      <c r="C8">
        <v>1</v>
      </c>
      <c r="D8">
        <v>1</v>
      </c>
      <c r="E8">
        <v>33</v>
      </c>
      <c r="I8" s="10">
        <v>817.84</v>
      </c>
      <c r="J8">
        <f t="shared" si="2"/>
        <v>174.00851063829788</v>
      </c>
      <c r="K8">
        <f t="shared" si="0"/>
        <v>0.52729851708575126</v>
      </c>
      <c r="L8">
        <f t="shared" si="0"/>
        <v>273.14063185041908</v>
      </c>
      <c r="M8">
        <f t="shared" si="0"/>
        <v>16.346254029658287</v>
      </c>
      <c r="N8">
        <f t="shared" si="0"/>
        <v>127.60624113475178</v>
      </c>
      <c r="O8">
        <f t="shared" si="0"/>
        <v>226.21106382978726</v>
      </c>
      <c r="P8">
        <f t="shared" si="3"/>
        <v>817.84</v>
      </c>
    </row>
    <row r="9" spans="2:16" x14ac:dyDescent="0.3">
      <c r="B9">
        <v>2026</v>
      </c>
      <c r="C9">
        <v>1</v>
      </c>
      <c r="D9">
        <v>2</v>
      </c>
      <c r="E9">
        <v>0.1</v>
      </c>
      <c r="I9" s="10">
        <v>803.31</v>
      </c>
      <c r="J9">
        <f t="shared" si="2"/>
        <v>170.91702127659573</v>
      </c>
      <c r="K9">
        <f t="shared" si="0"/>
        <v>0.51793036750483568</v>
      </c>
      <c r="L9">
        <f t="shared" si="0"/>
        <v>268.28793036750477</v>
      </c>
      <c r="M9">
        <f t="shared" si="0"/>
        <v>16.055841392649903</v>
      </c>
      <c r="N9">
        <f t="shared" si="0"/>
        <v>125.3391489361702</v>
      </c>
      <c r="O9">
        <f t="shared" si="0"/>
        <v>222.19212765957445</v>
      </c>
      <c r="P9">
        <f t="shared" si="3"/>
        <v>803.31</v>
      </c>
    </row>
    <row r="10" spans="2:16" x14ac:dyDescent="0.3">
      <c r="B10">
        <v>2026</v>
      </c>
      <c r="C10">
        <v>1</v>
      </c>
      <c r="D10">
        <v>3</v>
      </c>
      <c r="E10">
        <v>51.8</v>
      </c>
      <c r="I10" s="10">
        <v>787.99</v>
      </c>
      <c r="J10">
        <f t="shared" si="2"/>
        <v>167.65744680851063</v>
      </c>
      <c r="K10">
        <f t="shared" si="0"/>
        <v>0.508052869116699</v>
      </c>
      <c r="L10">
        <f t="shared" si="0"/>
        <v>263.17138620245004</v>
      </c>
      <c r="M10">
        <f t="shared" si="0"/>
        <v>15.749638942617667</v>
      </c>
      <c r="N10">
        <f t="shared" si="0"/>
        <v>122.94879432624114</v>
      </c>
      <c r="O10">
        <f t="shared" si="0"/>
        <v>217.95468085106384</v>
      </c>
      <c r="P10">
        <f t="shared" si="3"/>
        <v>787.99</v>
      </c>
    </row>
    <row r="11" spans="2:16" x14ac:dyDescent="0.3">
      <c r="B11">
        <v>2026</v>
      </c>
      <c r="C11">
        <v>1</v>
      </c>
      <c r="D11">
        <v>4</v>
      </c>
      <c r="E11">
        <v>3.1</v>
      </c>
      <c r="I11" s="10">
        <v>773.63</v>
      </c>
      <c r="J11">
        <f t="shared" si="2"/>
        <v>164.60212765957448</v>
      </c>
      <c r="K11">
        <f t="shared" si="0"/>
        <v>0.49879432624113484</v>
      </c>
      <c r="L11">
        <f t="shared" si="0"/>
        <v>258.37546099290779</v>
      </c>
      <c r="M11">
        <f t="shared" si="0"/>
        <v>15.462624113475178</v>
      </c>
      <c r="N11">
        <f t="shared" si="0"/>
        <v>120.70822695035461</v>
      </c>
      <c r="O11">
        <f t="shared" si="0"/>
        <v>213.98276595744682</v>
      </c>
      <c r="P11">
        <f t="shared" si="3"/>
        <v>773.62999999999988</v>
      </c>
    </row>
    <row r="12" spans="2:16" x14ac:dyDescent="0.3">
      <c r="B12">
        <v>2026</v>
      </c>
      <c r="C12">
        <v>1</v>
      </c>
      <c r="D12">
        <v>5</v>
      </c>
      <c r="E12">
        <v>24.2</v>
      </c>
      <c r="I12" s="10">
        <v>758.44</v>
      </c>
      <c r="J12">
        <f t="shared" si="2"/>
        <v>161.37021276595746</v>
      </c>
      <c r="K12">
        <f t="shared" si="0"/>
        <v>0.48900064474532573</v>
      </c>
      <c r="L12">
        <f t="shared" si="0"/>
        <v>253.30233397807865</v>
      </c>
      <c r="M12">
        <f t="shared" si="0"/>
        <v>15.159019987105095</v>
      </c>
      <c r="N12">
        <f t="shared" si="0"/>
        <v>118.3381560283688</v>
      </c>
      <c r="O12">
        <f t="shared" si="0"/>
        <v>209.78127659574471</v>
      </c>
      <c r="P12">
        <f t="shared" si="3"/>
        <v>758.44</v>
      </c>
    </row>
    <row r="13" spans="2:16" x14ac:dyDescent="0.3">
      <c r="B13">
        <v>2026</v>
      </c>
      <c r="C13">
        <v>1</v>
      </c>
      <c r="D13">
        <v>6</v>
      </c>
      <c r="E13">
        <v>74.5</v>
      </c>
      <c r="I13" s="11">
        <v>744.28</v>
      </c>
      <c r="J13">
        <f t="shared" si="2"/>
        <v>158.35744680851064</v>
      </c>
      <c r="K13">
        <f t="shared" si="0"/>
        <v>0.47987105093488081</v>
      </c>
      <c r="L13">
        <f t="shared" si="0"/>
        <v>248.57320438426819</v>
      </c>
      <c r="M13">
        <f t="shared" si="0"/>
        <v>14.876002578981302</v>
      </c>
      <c r="N13">
        <f t="shared" si="0"/>
        <v>116.12879432624113</v>
      </c>
      <c r="O13">
        <f t="shared" si="0"/>
        <v>205.86468085106384</v>
      </c>
      <c r="P13">
        <f t="shared" si="3"/>
        <v>744.28</v>
      </c>
    </row>
    <row r="14" spans="2:16" x14ac:dyDescent="0.3">
      <c r="B14">
        <v>2027</v>
      </c>
      <c r="C14">
        <v>1</v>
      </c>
      <c r="D14">
        <v>1</v>
      </c>
      <c r="E14">
        <v>187.55319148936169</v>
      </c>
    </row>
    <row r="15" spans="2:16" x14ac:dyDescent="0.3">
      <c r="B15">
        <v>2027</v>
      </c>
      <c r="C15">
        <v>1</v>
      </c>
      <c r="D15">
        <v>2</v>
      </c>
      <c r="E15">
        <v>0.5683430045132174</v>
      </c>
    </row>
    <row r="16" spans="2:16" x14ac:dyDescent="0.3">
      <c r="B16">
        <v>2027</v>
      </c>
      <c r="C16">
        <v>1</v>
      </c>
      <c r="D16">
        <v>3</v>
      </c>
      <c r="E16">
        <v>294.40167633784654</v>
      </c>
    </row>
    <row r="17" spans="2:5" x14ac:dyDescent="0.3">
      <c r="B17">
        <v>2027</v>
      </c>
      <c r="C17">
        <v>1</v>
      </c>
      <c r="D17">
        <v>4</v>
      </c>
      <c r="E17">
        <v>17.618633139909736</v>
      </c>
    </row>
    <row r="18" spans="2:5" x14ac:dyDescent="0.3">
      <c r="B18">
        <v>2027</v>
      </c>
      <c r="C18">
        <v>1</v>
      </c>
      <c r="D18">
        <v>5</v>
      </c>
      <c r="E18">
        <v>137.53900709219857</v>
      </c>
    </row>
    <row r="19" spans="2:5" x14ac:dyDescent="0.3">
      <c r="B19">
        <v>2027</v>
      </c>
      <c r="C19">
        <v>1</v>
      </c>
      <c r="D19">
        <v>6</v>
      </c>
      <c r="E19">
        <v>243.81914893617022</v>
      </c>
    </row>
    <row r="20" spans="2:5" x14ac:dyDescent="0.3">
      <c r="B20">
        <f t="shared" ref="B20:B51" si="4">B14+1</f>
        <v>2028</v>
      </c>
      <c r="C20">
        <v>1</v>
      </c>
      <c r="D20">
        <v>1</v>
      </c>
      <c r="E20">
        <v>184.22978723404256</v>
      </c>
    </row>
    <row r="21" spans="2:5" x14ac:dyDescent="0.3">
      <c r="B21">
        <f t="shared" si="4"/>
        <v>2028</v>
      </c>
      <c r="C21">
        <v>1</v>
      </c>
      <c r="D21">
        <v>2</v>
      </c>
      <c r="E21">
        <v>0.55827208252740179</v>
      </c>
    </row>
    <row r="22" spans="2:5" x14ac:dyDescent="0.3">
      <c r="B22">
        <f t="shared" si="4"/>
        <v>2028</v>
      </c>
      <c r="C22">
        <v>1</v>
      </c>
      <c r="D22">
        <v>3</v>
      </c>
      <c r="E22">
        <v>289.18493874919403</v>
      </c>
    </row>
    <row r="23" spans="2:5" x14ac:dyDescent="0.3">
      <c r="B23">
        <f t="shared" si="4"/>
        <v>2028</v>
      </c>
      <c r="C23">
        <v>1</v>
      </c>
      <c r="D23">
        <v>4</v>
      </c>
      <c r="E23">
        <v>17.306434558349451</v>
      </c>
    </row>
    <row r="24" spans="2:5" x14ac:dyDescent="0.3">
      <c r="B24">
        <f t="shared" si="4"/>
        <v>2028</v>
      </c>
      <c r="C24">
        <v>1</v>
      </c>
      <c r="D24">
        <v>5</v>
      </c>
      <c r="E24">
        <v>135.10184397163121</v>
      </c>
    </row>
    <row r="25" spans="2:5" x14ac:dyDescent="0.3">
      <c r="B25">
        <f t="shared" si="4"/>
        <v>2028</v>
      </c>
      <c r="C25">
        <v>1</v>
      </c>
      <c r="D25">
        <v>6</v>
      </c>
      <c r="E25">
        <v>239.49872340425532</v>
      </c>
    </row>
    <row r="26" spans="2:5" x14ac:dyDescent="0.3">
      <c r="B26">
        <f t="shared" si="4"/>
        <v>2029</v>
      </c>
      <c r="C26">
        <v>1</v>
      </c>
      <c r="D26">
        <v>1</v>
      </c>
      <c r="E26">
        <v>180.75531914893617</v>
      </c>
    </row>
    <row r="27" spans="2:5" x14ac:dyDescent="0.3">
      <c r="B27">
        <f t="shared" si="4"/>
        <v>2029</v>
      </c>
      <c r="C27">
        <v>1</v>
      </c>
      <c r="D27">
        <v>2</v>
      </c>
      <c r="E27">
        <v>0.54774339136041272</v>
      </c>
    </row>
    <row r="28" spans="2:5" x14ac:dyDescent="0.3">
      <c r="B28">
        <f t="shared" si="4"/>
        <v>2029</v>
      </c>
      <c r="C28">
        <v>1</v>
      </c>
      <c r="D28">
        <v>3</v>
      </c>
      <c r="E28">
        <v>283.73107672469371</v>
      </c>
    </row>
    <row r="29" spans="2:5" x14ac:dyDescent="0.3">
      <c r="B29">
        <f t="shared" si="4"/>
        <v>2029</v>
      </c>
      <c r="C29">
        <v>1</v>
      </c>
      <c r="D29">
        <v>4</v>
      </c>
      <c r="E29">
        <v>16.980045132172791</v>
      </c>
    </row>
    <row r="30" spans="2:5" x14ac:dyDescent="0.3">
      <c r="B30">
        <f t="shared" si="4"/>
        <v>2029</v>
      </c>
      <c r="C30">
        <v>1</v>
      </c>
      <c r="D30">
        <v>5</v>
      </c>
      <c r="E30">
        <v>132.55390070921985</v>
      </c>
    </row>
    <row r="31" spans="2:5" x14ac:dyDescent="0.3">
      <c r="B31">
        <f t="shared" si="4"/>
        <v>2029</v>
      </c>
      <c r="C31">
        <v>1</v>
      </c>
      <c r="D31">
        <v>6</v>
      </c>
      <c r="E31">
        <v>234.98191489361702</v>
      </c>
    </row>
    <row r="32" spans="2:5" x14ac:dyDescent="0.3">
      <c r="B32">
        <f t="shared" si="4"/>
        <v>2030</v>
      </c>
      <c r="C32">
        <v>1</v>
      </c>
      <c r="D32">
        <v>1</v>
      </c>
      <c r="E32">
        <v>177.34680851063828</v>
      </c>
    </row>
    <row r="33" spans="2:5" x14ac:dyDescent="0.3">
      <c r="B33">
        <f t="shared" si="4"/>
        <v>2030</v>
      </c>
      <c r="C33">
        <v>1</v>
      </c>
      <c r="D33">
        <v>2</v>
      </c>
      <c r="E33">
        <v>0.53741457124435854</v>
      </c>
    </row>
    <row r="34" spans="2:5" x14ac:dyDescent="0.3">
      <c r="B34">
        <f t="shared" si="4"/>
        <v>2030</v>
      </c>
      <c r="C34">
        <v>1</v>
      </c>
      <c r="D34">
        <v>3</v>
      </c>
      <c r="E34">
        <v>278.38074790457767</v>
      </c>
    </row>
    <row r="35" spans="2:5" x14ac:dyDescent="0.3">
      <c r="B35">
        <f t="shared" si="4"/>
        <v>2030</v>
      </c>
      <c r="C35">
        <v>1</v>
      </c>
      <c r="D35">
        <v>4</v>
      </c>
      <c r="E35">
        <v>16.659851708575111</v>
      </c>
    </row>
    <row r="36" spans="2:5" x14ac:dyDescent="0.3">
      <c r="B36">
        <f t="shared" si="4"/>
        <v>2030</v>
      </c>
      <c r="C36">
        <v>1</v>
      </c>
      <c r="D36">
        <v>5</v>
      </c>
      <c r="E36">
        <v>130.05432624113476</v>
      </c>
    </row>
    <row r="37" spans="2:5" x14ac:dyDescent="0.3">
      <c r="B37">
        <f t="shared" si="4"/>
        <v>2030</v>
      </c>
      <c r="C37">
        <v>1</v>
      </c>
      <c r="D37">
        <v>6</v>
      </c>
      <c r="E37">
        <v>230.55085106382978</v>
      </c>
    </row>
    <row r="38" spans="2:5" x14ac:dyDescent="0.3">
      <c r="B38">
        <f t="shared" si="4"/>
        <v>2031</v>
      </c>
      <c r="C38">
        <v>1</v>
      </c>
      <c r="D38">
        <v>1</v>
      </c>
      <c r="E38">
        <v>174.00851063829788</v>
      </c>
    </row>
    <row r="39" spans="2:5" x14ac:dyDescent="0.3">
      <c r="B39">
        <f t="shared" si="4"/>
        <v>2031</v>
      </c>
      <c r="C39">
        <v>1</v>
      </c>
      <c r="D39">
        <v>2</v>
      </c>
      <c r="E39">
        <v>0.52729851708575126</v>
      </c>
    </row>
    <row r="40" spans="2:5" x14ac:dyDescent="0.3">
      <c r="B40">
        <f t="shared" si="4"/>
        <v>2031</v>
      </c>
      <c r="C40">
        <v>1</v>
      </c>
      <c r="D40">
        <v>3</v>
      </c>
      <c r="E40">
        <v>273.14063185041908</v>
      </c>
    </row>
    <row r="41" spans="2:5" x14ac:dyDescent="0.3">
      <c r="B41">
        <f t="shared" si="4"/>
        <v>2031</v>
      </c>
      <c r="C41">
        <v>1</v>
      </c>
      <c r="D41">
        <v>4</v>
      </c>
      <c r="E41">
        <v>16.346254029658287</v>
      </c>
    </row>
    <row r="42" spans="2:5" x14ac:dyDescent="0.3">
      <c r="B42">
        <f t="shared" si="4"/>
        <v>2031</v>
      </c>
      <c r="C42">
        <v>1</v>
      </c>
      <c r="D42">
        <v>5</v>
      </c>
      <c r="E42">
        <v>127.60624113475178</v>
      </c>
    </row>
    <row r="43" spans="2:5" x14ac:dyDescent="0.3">
      <c r="B43">
        <f t="shared" si="4"/>
        <v>2031</v>
      </c>
      <c r="C43">
        <v>1</v>
      </c>
      <c r="D43">
        <v>6</v>
      </c>
      <c r="E43">
        <v>226.21106382978726</v>
      </c>
    </row>
    <row r="44" spans="2:5" x14ac:dyDescent="0.3">
      <c r="B44">
        <f t="shared" si="4"/>
        <v>2032</v>
      </c>
      <c r="C44">
        <v>1</v>
      </c>
      <c r="D44">
        <v>1</v>
      </c>
      <c r="E44">
        <v>170.91702127659573</v>
      </c>
    </row>
    <row r="45" spans="2:5" x14ac:dyDescent="0.3">
      <c r="B45">
        <f t="shared" si="4"/>
        <v>2032</v>
      </c>
      <c r="C45">
        <v>1</v>
      </c>
      <c r="D45">
        <v>2</v>
      </c>
      <c r="E45">
        <v>0.51793036750483568</v>
      </c>
    </row>
    <row r="46" spans="2:5" x14ac:dyDescent="0.3">
      <c r="B46">
        <f t="shared" si="4"/>
        <v>2032</v>
      </c>
      <c r="C46">
        <v>1</v>
      </c>
      <c r="D46">
        <v>3</v>
      </c>
      <c r="E46">
        <v>268.28793036750477</v>
      </c>
    </row>
    <row r="47" spans="2:5" x14ac:dyDescent="0.3">
      <c r="B47">
        <f t="shared" si="4"/>
        <v>2032</v>
      </c>
      <c r="C47">
        <v>1</v>
      </c>
      <c r="D47">
        <v>4</v>
      </c>
      <c r="E47">
        <v>16.055841392649903</v>
      </c>
    </row>
    <row r="48" spans="2:5" x14ac:dyDescent="0.3">
      <c r="B48">
        <f t="shared" si="4"/>
        <v>2032</v>
      </c>
      <c r="C48">
        <v>1</v>
      </c>
      <c r="D48">
        <v>5</v>
      </c>
      <c r="E48">
        <v>125.3391489361702</v>
      </c>
    </row>
    <row r="49" spans="2:5" x14ac:dyDescent="0.3">
      <c r="B49">
        <f t="shared" si="4"/>
        <v>2032</v>
      </c>
      <c r="C49">
        <v>1</v>
      </c>
      <c r="D49">
        <v>6</v>
      </c>
      <c r="E49">
        <v>222.19212765957445</v>
      </c>
    </row>
    <row r="50" spans="2:5" x14ac:dyDescent="0.3">
      <c r="B50">
        <f t="shared" si="4"/>
        <v>2033</v>
      </c>
      <c r="C50">
        <v>1</v>
      </c>
      <c r="D50">
        <v>1</v>
      </c>
      <c r="E50">
        <v>167.65744680851063</v>
      </c>
    </row>
    <row r="51" spans="2:5" x14ac:dyDescent="0.3">
      <c r="B51">
        <f t="shared" si="4"/>
        <v>2033</v>
      </c>
      <c r="C51">
        <v>1</v>
      </c>
      <c r="D51">
        <v>2</v>
      </c>
      <c r="E51">
        <v>0.508052869116699</v>
      </c>
    </row>
    <row r="52" spans="2:5" x14ac:dyDescent="0.3">
      <c r="B52">
        <f t="shared" ref="B52:B83" si="5">B46+1</f>
        <v>2033</v>
      </c>
      <c r="C52">
        <v>1</v>
      </c>
      <c r="D52">
        <v>3</v>
      </c>
      <c r="E52">
        <v>263.17138620245004</v>
      </c>
    </row>
    <row r="53" spans="2:5" x14ac:dyDescent="0.3">
      <c r="B53">
        <f t="shared" si="5"/>
        <v>2033</v>
      </c>
      <c r="C53">
        <v>1</v>
      </c>
      <c r="D53">
        <v>4</v>
      </c>
      <c r="E53">
        <v>15.749638942617667</v>
      </c>
    </row>
    <row r="54" spans="2:5" x14ac:dyDescent="0.3">
      <c r="B54">
        <f t="shared" si="5"/>
        <v>2033</v>
      </c>
      <c r="C54">
        <v>1</v>
      </c>
      <c r="D54">
        <v>5</v>
      </c>
      <c r="E54">
        <v>122.94879432624114</v>
      </c>
    </row>
    <row r="55" spans="2:5" x14ac:dyDescent="0.3">
      <c r="B55">
        <f t="shared" si="5"/>
        <v>2033</v>
      </c>
      <c r="C55">
        <v>1</v>
      </c>
      <c r="D55">
        <v>6</v>
      </c>
      <c r="E55">
        <v>217.95468085106384</v>
      </c>
    </row>
    <row r="56" spans="2:5" x14ac:dyDescent="0.3">
      <c r="B56">
        <f t="shared" si="5"/>
        <v>2034</v>
      </c>
      <c r="C56">
        <v>1</v>
      </c>
      <c r="D56">
        <v>1</v>
      </c>
      <c r="E56">
        <v>164.60212765957448</v>
      </c>
    </row>
    <row r="57" spans="2:5" x14ac:dyDescent="0.3">
      <c r="B57">
        <f t="shared" si="5"/>
        <v>2034</v>
      </c>
      <c r="C57">
        <v>1</v>
      </c>
      <c r="D57">
        <v>2</v>
      </c>
      <c r="E57">
        <v>0.49879432624113484</v>
      </c>
    </row>
    <row r="58" spans="2:5" x14ac:dyDescent="0.3">
      <c r="B58">
        <f t="shared" si="5"/>
        <v>2034</v>
      </c>
      <c r="C58">
        <v>1</v>
      </c>
      <c r="D58">
        <v>3</v>
      </c>
      <c r="E58">
        <v>258.37546099290779</v>
      </c>
    </row>
    <row r="59" spans="2:5" x14ac:dyDescent="0.3">
      <c r="B59">
        <f t="shared" si="5"/>
        <v>2034</v>
      </c>
      <c r="C59">
        <v>1</v>
      </c>
      <c r="D59">
        <v>4</v>
      </c>
      <c r="E59">
        <v>15.462624113475178</v>
      </c>
    </row>
    <row r="60" spans="2:5" x14ac:dyDescent="0.3">
      <c r="B60">
        <f t="shared" si="5"/>
        <v>2034</v>
      </c>
      <c r="C60">
        <v>1</v>
      </c>
      <c r="D60">
        <v>5</v>
      </c>
      <c r="E60">
        <v>120.70822695035461</v>
      </c>
    </row>
    <row r="61" spans="2:5" x14ac:dyDescent="0.3">
      <c r="B61">
        <f t="shared" si="5"/>
        <v>2034</v>
      </c>
      <c r="C61">
        <v>1</v>
      </c>
      <c r="D61">
        <v>6</v>
      </c>
      <c r="E61">
        <v>213.98276595744682</v>
      </c>
    </row>
    <row r="62" spans="2:5" x14ac:dyDescent="0.3">
      <c r="B62">
        <f t="shared" si="5"/>
        <v>2035</v>
      </c>
      <c r="C62">
        <v>1</v>
      </c>
      <c r="D62">
        <v>1</v>
      </c>
      <c r="E62">
        <v>161.37021276595746</v>
      </c>
    </row>
    <row r="63" spans="2:5" x14ac:dyDescent="0.3">
      <c r="B63">
        <f t="shared" si="5"/>
        <v>2035</v>
      </c>
      <c r="C63">
        <v>1</v>
      </c>
      <c r="D63">
        <v>2</v>
      </c>
      <c r="E63">
        <v>0.48900064474532573</v>
      </c>
    </row>
    <row r="64" spans="2:5" x14ac:dyDescent="0.3">
      <c r="B64">
        <f t="shared" si="5"/>
        <v>2035</v>
      </c>
      <c r="C64">
        <v>1</v>
      </c>
      <c r="D64">
        <v>3</v>
      </c>
      <c r="E64">
        <v>253.30233397807865</v>
      </c>
    </row>
    <row r="65" spans="2:6" x14ac:dyDescent="0.3">
      <c r="B65">
        <f t="shared" si="5"/>
        <v>2035</v>
      </c>
      <c r="C65">
        <v>1</v>
      </c>
      <c r="D65">
        <v>4</v>
      </c>
      <c r="E65">
        <v>15.159019987105095</v>
      </c>
    </row>
    <row r="66" spans="2:6" x14ac:dyDescent="0.3">
      <c r="B66">
        <f t="shared" si="5"/>
        <v>2035</v>
      </c>
      <c r="C66">
        <v>1</v>
      </c>
      <c r="D66">
        <v>5</v>
      </c>
      <c r="E66">
        <v>118.3381560283688</v>
      </c>
    </row>
    <row r="67" spans="2:6" x14ac:dyDescent="0.3">
      <c r="B67">
        <f t="shared" si="5"/>
        <v>2035</v>
      </c>
      <c r="C67">
        <v>1</v>
      </c>
      <c r="D67">
        <v>6</v>
      </c>
      <c r="E67">
        <v>209.78127659574471</v>
      </c>
    </row>
    <row r="68" spans="2:6" x14ac:dyDescent="0.3">
      <c r="B68">
        <f t="shared" si="5"/>
        <v>2036</v>
      </c>
      <c r="C68">
        <v>1</v>
      </c>
      <c r="D68">
        <v>1</v>
      </c>
      <c r="E68">
        <v>158.35744680851064</v>
      </c>
    </row>
    <row r="69" spans="2:6" x14ac:dyDescent="0.3">
      <c r="B69">
        <f t="shared" si="5"/>
        <v>2036</v>
      </c>
      <c r="C69">
        <v>1</v>
      </c>
      <c r="D69">
        <v>2</v>
      </c>
      <c r="E69">
        <v>0.47987105093488081</v>
      </c>
    </row>
    <row r="70" spans="2:6" x14ac:dyDescent="0.3">
      <c r="B70">
        <f t="shared" si="5"/>
        <v>2036</v>
      </c>
      <c r="C70">
        <v>1</v>
      </c>
      <c r="D70">
        <v>3</v>
      </c>
      <c r="E70">
        <v>248.57320438426819</v>
      </c>
    </row>
    <row r="71" spans="2:6" x14ac:dyDescent="0.3">
      <c r="B71">
        <f t="shared" si="5"/>
        <v>2036</v>
      </c>
      <c r="C71">
        <v>1</v>
      </c>
      <c r="D71">
        <v>4</v>
      </c>
      <c r="E71">
        <v>14.876002578981302</v>
      </c>
    </row>
    <row r="72" spans="2:6" x14ac:dyDescent="0.3">
      <c r="B72">
        <f t="shared" si="5"/>
        <v>2036</v>
      </c>
      <c r="C72">
        <v>1</v>
      </c>
      <c r="D72">
        <v>5</v>
      </c>
      <c r="E72">
        <v>116.12879432624113</v>
      </c>
    </row>
    <row r="73" spans="2:6" x14ac:dyDescent="0.3">
      <c r="B73">
        <f t="shared" si="5"/>
        <v>2036</v>
      </c>
      <c r="C73">
        <v>1</v>
      </c>
      <c r="D73">
        <v>6</v>
      </c>
      <c r="E73">
        <v>205.86468085106384</v>
      </c>
      <c r="F73">
        <f>SUM(E68:E73)</f>
        <v>744.28</v>
      </c>
    </row>
  </sheetData>
  <sortState xmlns:xlrd2="http://schemas.microsoft.com/office/spreadsheetml/2017/richdata2" ref="B2:E13">
    <sortCondition ref="B2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C987-B699-46C5-BBCE-D06BA571F11D}">
  <dimension ref="A1:G72"/>
  <sheetViews>
    <sheetView workbookViewId="0">
      <selection sqref="A1:H72"/>
    </sheetView>
  </sheetViews>
  <sheetFormatPr defaultRowHeight="14.4" x14ac:dyDescent="0.3"/>
  <sheetData>
    <row r="1" spans="1:7" x14ac:dyDescent="0.3">
      <c r="A1">
        <v>2025</v>
      </c>
      <c r="B1">
        <v>1</v>
      </c>
      <c r="C1">
        <v>1</v>
      </c>
      <c r="D1">
        <v>33</v>
      </c>
      <c r="E1">
        <f>D1/SUM($D$3:$D$8)</f>
        <v>0.21276595744680851</v>
      </c>
    </row>
    <row r="2" spans="1:7" x14ac:dyDescent="0.3">
      <c r="A2">
        <v>2025</v>
      </c>
      <c r="B2">
        <v>1</v>
      </c>
      <c r="C2">
        <v>2</v>
      </c>
      <c r="D2">
        <v>0.1</v>
      </c>
      <c r="E2">
        <f t="shared" ref="E2:E6" si="0">D2/SUM($D$3:$D$8)</f>
        <v>6.4474532559638954E-4</v>
      </c>
    </row>
    <row r="3" spans="1:7" x14ac:dyDescent="0.3">
      <c r="A3">
        <v>2025</v>
      </c>
      <c r="B3">
        <v>1</v>
      </c>
      <c r="C3">
        <v>3</v>
      </c>
      <c r="D3">
        <v>51.8</v>
      </c>
      <c r="E3">
        <f t="shared" si="0"/>
        <v>0.3339780786589297</v>
      </c>
    </row>
    <row r="4" spans="1:7" x14ac:dyDescent="0.3">
      <c r="A4">
        <v>2025</v>
      </c>
      <c r="B4">
        <v>1</v>
      </c>
      <c r="C4">
        <v>4</v>
      </c>
      <c r="D4">
        <v>3.1</v>
      </c>
      <c r="E4">
        <f t="shared" si="0"/>
        <v>1.9987105093488073E-2</v>
      </c>
    </row>
    <row r="5" spans="1:7" x14ac:dyDescent="0.3">
      <c r="A5">
        <v>2025</v>
      </c>
      <c r="B5">
        <v>1</v>
      </c>
      <c r="C5">
        <v>5</v>
      </c>
      <c r="D5">
        <v>24.2</v>
      </c>
      <c r="E5">
        <f t="shared" si="0"/>
        <v>0.15602836879432624</v>
      </c>
    </row>
    <row r="6" spans="1:7" x14ac:dyDescent="0.3">
      <c r="A6">
        <v>2025</v>
      </c>
      <c r="B6">
        <v>1</v>
      </c>
      <c r="C6">
        <v>6</v>
      </c>
      <c r="D6">
        <v>42.9</v>
      </c>
      <c r="E6">
        <f t="shared" si="0"/>
        <v>0.27659574468085107</v>
      </c>
    </row>
    <row r="7" spans="1:7" x14ac:dyDescent="0.3">
      <c r="A7">
        <v>2026</v>
      </c>
      <c r="B7">
        <v>1</v>
      </c>
      <c r="C7">
        <v>1</v>
      </c>
      <c r="D7">
        <v>33</v>
      </c>
      <c r="E7">
        <f>D7/SUM($D$9:$D$14)</f>
        <v>0.21484375</v>
      </c>
      <c r="F7">
        <f>SUM(D7:D12)</f>
        <v>186.7</v>
      </c>
    </row>
    <row r="8" spans="1:7" x14ac:dyDescent="0.3">
      <c r="A8">
        <v>2026</v>
      </c>
      <c r="B8">
        <v>1</v>
      </c>
      <c r="C8">
        <v>2</v>
      </c>
      <c r="D8">
        <v>0.1</v>
      </c>
      <c r="E8">
        <f t="shared" ref="E8:E12" si="1">D8/SUM($D$9:$D$14)</f>
        <v>6.5104166666666674E-4</v>
      </c>
    </row>
    <row r="9" spans="1:7" x14ac:dyDescent="0.3">
      <c r="A9">
        <v>2026</v>
      </c>
      <c r="B9">
        <v>1</v>
      </c>
      <c r="C9">
        <v>3</v>
      </c>
      <c r="D9">
        <v>51.8</v>
      </c>
      <c r="E9">
        <f t="shared" si="1"/>
        <v>0.33723958333333331</v>
      </c>
    </row>
    <row r="10" spans="1:7" x14ac:dyDescent="0.3">
      <c r="A10">
        <v>2026</v>
      </c>
      <c r="B10">
        <v>1</v>
      </c>
      <c r="C10">
        <v>4</v>
      </c>
      <c r="D10">
        <v>3.1</v>
      </c>
      <c r="E10">
        <f t="shared" si="1"/>
        <v>2.0182291666666668E-2</v>
      </c>
    </row>
    <row r="11" spans="1:7" x14ac:dyDescent="0.3">
      <c r="A11">
        <v>2026</v>
      </c>
      <c r="B11">
        <v>1</v>
      </c>
      <c r="C11">
        <v>5</v>
      </c>
      <c r="D11">
        <v>24.2</v>
      </c>
      <c r="E11">
        <f t="shared" si="1"/>
        <v>0.15755208333333334</v>
      </c>
    </row>
    <row r="12" spans="1:7" x14ac:dyDescent="0.3">
      <c r="A12">
        <v>2026</v>
      </c>
      <c r="B12">
        <v>1</v>
      </c>
      <c r="C12">
        <v>6</v>
      </c>
      <c r="D12">
        <v>74.5</v>
      </c>
      <c r="E12">
        <f t="shared" si="1"/>
        <v>0.48502604166666669</v>
      </c>
      <c r="G12" t="s">
        <v>18</v>
      </c>
    </row>
    <row r="13" spans="1:7" x14ac:dyDescent="0.3">
      <c r="A13">
        <v>2027</v>
      </c>
      <c r="B13">
        <v>1</v>
      </c>
      <c r="C13">
        <v>1</v>
      </c>
      <c r="D13">
        <f>E13*$F$15</f>
        <v>0</v>
      </c>
      <c r="E13">
        <v>0.17675415104445635</v>
      </c>
      <c r="F13">
        <v>843.85199999999998</v>
      </c>
      <c r="G13">
        <f>SUM(D13:D18)</f>
        <v>0</v>
      </c>
    </row>
    <row r="14" spans="1:7" x14ac:dyDescent="0.3">
      <c r="A14">
        <v>2027</v>
      </c>
      <c r="B14">
        <v>1</v>
      </c>
      <c r="C14">
        <v>2</v>
      </c>
      <c r="D14">
        <f t="shared" ref="D14:D18" si="2">E14*$F$15</f>
        <v>0</v>
      </c>
      <c r="E14">
        <v>5.3561863952865569E-4</v>
      </c>
    </row>
    <row r="15" spans="1:7" x14ac:dyDescent="0.3">
      <c r="A15">
        <v>2027</v>
      </c>
      <c r="B15">
        <v>1</v>
      </c>
      <c r="C15">
        <v>3</v>
      </c>
      <c r="D15">
        <f t="shared" si="2"/>
        <v>0</v>
      </c>
      <c r="E15">
        <v>0.27745045527584361</v>
      </c>
    </row>
    <row r="16" spans="1:7" x14ac:dyDescent="0.3">
      <c r="A16">
        <v>2027</v>
      </c>
      <c r="B16">
        <v>1</v>
      </c>
      <c r="C16">
        <v>4</v>
      </c>
      <c r="D16">
        <f t="shared" si="2"/>
        <v>0</v>
      </c>
      <c r="E16">
        <v>1.6604177825388325E-2</v>
      </c>
    </row>
    <row r="17" spans="1:7" x14ac:dyDescent="0.3">
      <c r="A17">
        <v>2027</v>
      </c>
      <c r="B17">
        <v>1</v>
      </c>
      <c r="C17">
        <v>5</v>
      </c>
      <c r="D17">
        <f t="shared" si="2"/>
        <v>0</v>
      </c>
      <c r="E17">
        <v>0.12961971076593465</v>
      </c>
    </row>
    <row r="18" spans="1:7" x14ac:dyDescent="0.3">
      <c r="A18">
        <v>2027</v>
      </c>
      <c r="B18">
        <v>1</v>
      </c>
      <c r="C18">
        <v>6</v>
      </c>
      <c r="D18">
        <f t="shared" si="2"/>
        <v>0</v>
      </c>
      <c r="E18">
        <v>0.39903588644884846</v>
      </c>
    </row>
    <row r="19" spans="1:7" x14ac:dyDescent="0.3">
      <c r="A19">
        <v>2028</v>
      </c>
      <c r="B19">
        <v>1</v>
      </c>
      <c r="C19">
        <v>1</v>
      </c>
      <c r="D19">
        <f>E19*$F$21</f>
        <v>0</v>
      </c>
      <c r="E19">
        <v>0.17675415104445635</v>
      </c>
      <c r="F19">
        <v>825.65499999999997</v>
      </c>
      <c r="G19">
        <f>SUM(D19:D24)</f>
        <v>0</v>
      </c>
    </row>
    <row r="20" spans="1:7" x14ac:dyDescent="0.3">
      <c r="A20">
        <v>2028</v>
      </c>
      <c r="B20">
        <v>1</v>
      </c>
      <c r="C20">
        <v>2</v>
      </c>
      <c r="D20">
        <f t="shared" ref="D20:D24" si="3">E20*$F$21</f>
        <v>0</v>
      </c>
      <c r="E20">
        <v>5.3561863952865569E-4</v>
      </c>
    </row>
    <row r="21" spans="1:7" x14ac:dyDescent="0.3">
      <c r="A21">
        <v>2028</v>
      </c>
      <c r="B21">
        <v>1</v>
      </c>
      <c r="C21">
        <v>3</v>
      </c>
      <c r="D21">
        <f t="shared" si="3"/>
        <v>0</v>
      </c>
      <c r="E21">
        <v>0.27745045527584361</v>
      </c>
    </row>
    <row r="22" spans="1:7" x14ac:dyDescent="0.3">
      <c r="A22">
        <v>2028</v>
      </c>
      <c r="B22">
        <v>1</v>
      </c>
      <c r="C22">
        <v>4</v>
      </c>
      <c r="D22">
        <f t="shared" si="3"/>
        <v>0</v>
      </c>
      <c r="E22">
        <v>1.6604177825388325E-2</v>
      </c>
    </row>
    <row r="23" spans="1:7" x14ac:dyDescent="0.3">
      <c r="A23">
        <v>2028</v>
      </c>
      <c r="B23">
        <v>1</v>
      </c>
      <c r="C23">
        <v>5</v>
      </c>
      <c r="D23">
        <f t="shared" si="3"/>
        <v>0</v>
      </c>
      <c r="E23">
        <v>0.12961971076593465</v>
      </c>
    </row>
    <row r="24" spans="1:7" x14ac:dyDescent="0.3">
      <c r="A24">
        <v>2028</v>
      </c>
      <c r="B24">
        <v>1</v>
      </c>
      <c r="C24">
        <v>6</v>
      </c>
      <c r="D24">
        <f t="shared" si="3"/>
        <v>0</v>
      </c>
      <c r="E24">
        <v>0.39903588644884846</v>
      </c>
    </row>
    <row r="25" spans="1:7" x14ac:dyDescent="0.3">
      <c r="A25">
        <v>2029</v>
      </c>
      <c r="B25">
        <v>1</v>
      </c>
      <c r="C25">
        <v>1</v>
      </c>
      <c r="D25">
        <f>E25*$F$27</f>
        <v>0</v>
      </c>
      <c r="E25">
        <v>0.17675415104445635</v>
      </c>
      <c r="F25">
        <v>808.75199999999995</v>
      </c>
      <c r="G25">
        <f>SUM(D25:D30)</f>
        <v>0</v>
      </c>
    </row>
    <row r="26" spans="1:7" x14ac:dyDescent="0.3">
      <c r="A26">
        <v>2029</v>
      </c>
      <c r="B26">
        <v>1</v>
      </c>
      <c r="C26">
        <v>2</v>
      </c>
      <c r="D26">
        <f t="shared" ref="D26:D30" si="4">E26*$F$27</f>
        <v>0</v>
      </c>
      <c r="E26">
        <v>5.3561863952865569E-4</v>
      </c>
    </row>
    <row r="27" spans="1:7" x14ac:dyDescent="0.3">
      <c r="A27">
        <v>2029</v>
      </c>
      <c r="B27">
        <v>1</v>
      </c>
      <c r="C27">
        <v>3</v>
      </c>
      <c r="D27">
        <f t="shared" si="4"/>
        <v>0</v>
      </c>
      <c r="E27">
        <v>0.27745045527584361</v>
      </c>
    </row>
    <row r="28" spans="1:7" x14ac:dyDescent="0.3">
      <c r="A28">
        <v>2029</v>
      </c>
      <c r="B28">
        <v>1</v>
      </c>
      <c r="C28">
        <v>4</v>
      </c>
      <c r="D28">
        <f t="shared" si="4"/>
        <v>0</v>
      </c>
      <c r="E28">
        <v>1.6604177825388325E-2</v>
      </c>
    </row>
    <row r="29" spans="1:7" x14ac:dyDescent="0.3">
      <c r="A29">
        <v>2029</v>
      </c>
      <c r="B29">
        <v>1</v>
      </c>
      <c r="C29">
        <v>5</v>
      </c>
      <c r="D29">
        <f t="shared" si="4"/>
        <v>0</v>
      </c>
      <c r="E29">
        <v>0.12961971076593465</v>
      </c>
    </row>
    <row r="30" spans="1:7" x14ac:dyDescent="0.3">
      <c r="A30">
        <v>2029</v>
      </c>
      <c r="B30">
        <v>1</v>
      </c>
      <c r="C30">
        <v>6</v>
      </c>
      <c r="D30">
        <f t="shared" si="4"/>
        <v>0</v>
      </c>
      <c r="E30">
        <v>0.39903588644884846</v>
      </c>
    </row>
    <row r="31" spans="1:7" x14ac:dyDescent="0.3">
      <c r="A31">
        <v>2030</v>
      </c>
      <c r="B31">
        <v>1</v>
      </c>
      <c r="C31">
        <v>1</v>
      </c>
      <c r="D31">
        <f>E31*$F$33</f>
        <v>0</v>
      </c>
      <c r="E31">
        <v>0.17675415104445635</v>
      </c>
      <c r="F31">
        <v>792.19500000000005</v>
      </c>
      <c r="G31">
        <f>SUM(D31:D36)</f>
        <v>0</v>
      </c>
    </row>
    <row r="32" spans="1:7" x14ac:dyDescent="0.3">
      <c r="A32">
        <v>2030</v>
      </c>
      <c r="B32">
        <v>1</v>
      </c>
      <c r="C32">
        <v>2</v>
      </c>
      <c r="D32">
        <f t="shared" ref="D32:D36" si="5">E32*$F$33</f>
        <v>0</v>
      </c>
      <c r="E32">
        <v>5.3561863952865569E-4</v>
      </c>
    </row>
    <row r="33" spans="1:7" x14ac:dyDescent="0.3">
      <c r="A33">
        <v>2030</v>
      </c>
      <c r="B33">
        <v>1</v>
      </c>
      <c r="C33">
        <v>3</v>
      </c>
      <c r="D33">
        <f t="shared" si="5"/>
        <v>0</v>
      </c>
      <c r="E33">
        <v>0.27745045527584361</v>
      </c>
    </row>
    <row r="34" spans="1:7" x14ac:dyDescent="0.3">
      <c r="A34">
        <v>2030</v>
      </c>
      <c r="B34">
        <v>1</v>
      </c>
      <c r="C34">
        <v>4</v>
      </c>
      <c r="D34">
        <f t="shared" si="5"/>
        <v>0</v>
      </c>
      <c r="E34">
        <v>1.6604177825388325E-2</v>
      </c>
    </row>
    <row r="35" spans="1:7" x14ac:dyDescent="0.3">
      <c r="A35">
        <v>2030</v>
      </c>
      <c r="B35">
        <v>1</v>
      </c>
      <c r="C35">
        <v>5</v>
      </c>
      <c r="D35">
        <f t="shared" si="5"/>
        <v>0</v>
      </c>
      <c r="E35">
        <v>0.12961971076593465</v>
      </c>
    </row>
    <row r="36" spans="1:7" x14ac:dyDescent="0.3">
      <c r="A36">
        <v>2030</v>
      </c>
      <c r="B36">
        <v>1</v>
      </c>
      <c r="C36">
        <v>6</v>
      </c>
      <c r="D36">
        <f t="shared" si="5"/>
        <v>0</v>
      </c>
      <c r="E36">
        <v>0.39903588644884846</v>
      </c>
    </row>
    <row r="37" spans="1:7" x14ac:dyDescent="0.3">
      <c r="A37">
        <v>2031</v>
      </c>
      <c r="B37">
        <v>1</v>
      </c>
      <c r="C37">
        <v>1</v>
      </c>
      <c r="D37">
        <f>E37*$F$39</f>
        <v>0</v>
      </c>
      <c r="E37">
        <v>0.17675415104445635</v>
      </c>
      <c r="F37">
        <v>775.98299999999995</v>
      </c>
      <c r="G37">
        <f>SUM(D37:D42)</f>
        <v>0</v>
      </c>
    </row>
    <row r="38" spans="1:7" x14ac:dyDescent="0.3">
      <c r="A38">
        <v>2031</v>
      </c>
      <c r="B38">
        <v>1</v>
      </c>
      <c r="C38">
        <v>2</v>
      </c>
      <c r="D38">
        <f t="shared" ref="D38:D42" si="6">E38*$F$39</f>
        <v>0</v>
      </c>
      <c r="E38">
        <v>5.3561863952865569E-4</v>
      </c>
    </row>
    <row r="39" spans="1:7" x14ac:dyDescent="0.3">
      <c r="A39">
        <v>2031</v>
      </c>
      <c r="B39">
        <v>1</v>
      </c>
      <c r="C39">
        <v>3</v>
      </c>
      <c r="D39">
        <f t="shared" si="6"/>
        <v>0</v>
      </c>
      <c r="E39">
        <v>0.27745045527584361</v>
      </c>
    </row>
    <row r="40" spans="1:7" x14ac:dyDescent="0.3">
      <c r="A40">
        <v>2031</v>
      </c>
      <c r="B40">
        <v>1</v>
      </c>
      <c r="C40">
        <v>4</v>
      </c>
      <c r="D40">
        <f t="shared" si="6"/>
        <v>0</v>
      </c>
      <c r="E40">
        <v>1.6604177825388325E-2</v>
      </c>
    </row>
    <row r="41" spans="1:7" x14ac:dyDescent="0.3">
      <c r="A41">
        <v>2031</v>
      </c>
      <c r="B41">
        <v>1</v>
      </c>
      <c r="C41">
        <v>5</v>
      </c>
      <c r="D41">
        <f t="shared" si="6"/>
        <v>0</v>
      </c>
      <c r="E41">
        <v>0.12961971076593465</v>
      </c>
    </row>
    <row r="42" spans="1:7" x14ac:dyDescent="0.3">
      <c r="A42">
        <v>2031</v>
      </c>
      <c r="B42">
        <v>1</v>
      </c>
      <c r="C42">
        <v>6</v>
      </c>
      <c r="D42">
        <f t="shared" si="6"/>
        <v>0</v>
      </c>
      <c r="E42">
        <v>0.39903588644884846</v>
      </c>
    </row>
    <row r="43" spans="1:7" x14ac:dyDescent="0.3">
      <c r="A43">
        <v>2032</v>
      </c>
      <c r="B43">
        <v>1</v>
      </c>
      <c r="C43">
        <v>1</v>
      </c>
      <c r="D43">
        <f>E43*$F$45</f>
        <v>0</v>
      </c>
      <c r="E43">
        <v>0.17675415104445635</v>
      </c>
      <c r="F43">
        <v>760.04200000000003</v>
      </c>
      <c r="G43">
        <f>SUM(D43:D48)</f>
        <v>0</v>
      </c>
    </row>
    <row r="44" spans="1:7" x14ac:dyDescent="0.3">
      <c r="A44">
        <v>2032</v>
      </c>
      <c r="B44">
        <v>1</v>
      </c>
      <c r="C44">
        <v>2</v>
      </c>
      <c r="D44">
        <f t="shared" ref="D44:D48" si="7">E44*$F$45</f>
        <v>0</v>
      </c>
      <c r="E44">
        <v>5.3561863952865569E-4</v>
      </c>
    </row>
    <row r="45" spans="1:7" x14ac:dyDescent="0.3">
      <c r="A45">
        <v>2032</v>
      </c>
      <c r="B45">
        <v>1</v>
      </c>
      <c r="C45">
        <v>3</v>
      </c>
      <c r="D45">
        <f t="shared" si="7"/>
        <v>0</v>
      </c>
      <c r="E45">
        <v>0.27745045527584361</v>
      </c>
    </row>
    <row r="46" spans="1:7" x14ac:dyDescent="0.3">
      <c r="A46">
        <v>2032</v>
      </c>
      <c r="B46">
        <v>1</v>
      </c>
      <c r="C46">
        <v>4</v>
      </c>
      <c r="D46">
        <f t="shared" si="7"/>
        <v>0</v>
      </c>
      <c r="E46">
        <v>1.6604177825388325E-2</v>
      </c>
    </row>
    <row r="47" spans="1:7" x14ac:dyDescent="0.3">
      <c r="A47">
        <v>2032</v>
      </c>
      <c r="B47">
        <v>1</v>
      </c>
      <c r="C47">
        <v>5</v>
      </c>
      <c r="D47">
        <f t="shared" si="7"/>
        <v>0</v>
      </c>
      <c r="E47">
        <v>0.12961971076593465</v>
      </c>
    </row>
    <row r="48" spans="1:7" x14ac:dyDescent="0.3">
      <c r="A48">
        <v>2032</v>
      </c>
      <c r="B48">
        <v>1</v>
      </c>
      <c r="C48">
        <v>6</v>
      </c>
      <c r="D48">
        <f t="shared" si="7"/>
        <v>0</v>
      </c>
      <c r="E48">
        <v>0.39903588644884846</v>
      </c>
    </row>
    <row r="49" spans="1:7" x14ac:dyDescent="0.3">
      <c r="A49">
        <v>2033</v>
      </c>
      <c r="B49">
        <v>1</v>
      </c>
      <c r="C49">
        <v>1</v>
      </c>
      <c r="D49">
        <f>E49*$F$51</f>
        <v>0</v>
      </c>
      <c r="E49">
        <v>0.17675415104445635</v>
      </c>
      <c r="F49">
        <v>745.17600000000004</v>
      </c>
      <c r="G49">
        <f>SUM(D49:D54)</f>
        <v>0</v>
      </c>
    </row>
    <row r="50" spans="1:7" x14ac:dyDescent="0.3">
      <c r="A50">
        <v>2033</v>
      </c>
      <c r="B50">
        <v>1</v>
      </c>
      <c r="C50">
        <v>2</v>
      </c>
      <c r="D50">
        <f t="shared" ref="D50:D54" si="8">E50*$F$51</f>
        <v>0</v>
      </c>
      <c r="E50">
        <v>5.3561863952865569E-4</v>
      </c>
    </row>
    <row r="51" spans="1:7" x14ac:dyDescent="0.3">
      <c r="A51">
        <v>2033</v>
      </c>
      <c r="B51">
        <v>1</v>
      </c>
      <c r="C51">
        <v>3</v>
      </c>
      <c r="D51">
        <f t="shared" si="8"/>
        <v>0</v>
      </c>
      <c r="E51">
        <v>0.27745045527584361</v>
      </c>
    </row>
    <row r="52" spans="1:7" x14ac:dyDescent="0.3">
      <c r="A52">
        <v>2033</v>
      </c>
      <c r="B52">
        <v>1</v>
      </c>
      <c r="C52">
        <v>4</v>
      </c>
      <c r="D52">
        <f t="shared" si="8"/>
        <v>0</v>
      </c>
      <c r="E52">
        <v>1.6604177825388325E-2</v>
      </c>
    </row>
    <row r="53" spans="1:7" x14ac:dyDescent="0.3">
      <c r="A53">
        <v>2033</v>
      </c>
      <c r="B53">
        <v>1</v>
      </c>
      <c r="C53">
        <v>5</v>
      </c>
      <c r="D53">
        <f t="shared" si="8"/>
        <v>0</v>
      </c>
      <c r="E53">
        <v>0.12961971076593465</v>
      </c>
    </row>
    <row r="54" spans="1:7" x14ac:dyDescent="0.3">
      <c r="A54">
        <v>2033</v>
      </c>
      <c r="B54">
        <v>1</v>
      </c>
      <c r="C54">
        <v>6</v>
      </c>
      <c r="D54">
        <f t="shared" si="8"/>
        <v>0</v>
      </c>
      <c r="E54">
        <v>0.39903588644884846</v>
      </c>
    </row>
    <row r="55" spans="1:7" x14ac:dyDescent="0.3">
      <c r="A55">
        <v>2034</v>
      </c>
      <c r="B55">
        <v>1</v>
      </c>
      <c r="C55">
        <v>1</v>
      </c>
      <c r="D55">
        <f>E55*$F$57</f>
        <v>0</v>
      </c>
      <c r="E55">
        <v>0.17675415104445635</v>
      </c>
      <c r="F55">
        <v>729.48900000000003</v>
      </c>
      <c r="G55">
        <f>SUM(D55:D60)</f>
        <v>0</v>
      </c>
    </row>
    <row r="56" spans="1:7" x14ac:dyDescent="0.3">
      <c r="A56">
        <v>2034</v>
      </c>
      <c r="B56">
        <v>1</v>
      </c>
      <c r="C56">
        <v>2</v>
      </c>
      <c r="D56">
        <f t="shared" ref="D56:D60" si="9">E56*$F$57</f>
        <v>0</v>
      </c>
      <c r="E56">
        <v>5.3561863952865569E-4</v>
      </c>
    </row>
    <row r="57" spans="1:7" x14ac:dyDescent="0.3">
      <c r="A57">
        <v>2034</v>
      </c>
      <c r="B57">
        <v>1</v>
      </c>
      <c r="C57">
        <v>3</v>
      </c>
      <c r="D57">
        <f t="shared" si="9"/>
        <v>0</v>
      </c>
      <c r="E57">
        <v>0.27745045527584361</v>
      </c>
    </row>
    <row r="58" spans="1:7" x14ac:dyDescent="0.3">
      <c r="A58">
        <v>2034</v>
      </c>
      <c r="B58">
        <v>1</v>
      </c>
      <c r="C58">
        <v>4</v>
      </c>
      <c r="D58">
        <f t="shared" si="9"/>
        <v>0</v>
      </c>
      <c r="E58">
        <v>1.6604177825388325E-2</v>
      </c>
    </row>
    <row r="59" spans="1:7" x14ac:dyDescent="0.3">
      <c r="A59">
        <v>2034</v>
      </c>
      <c r="B59">
        <v>1</v>
      </c>
      <c r="C59">
        <v>5</v>
      </c>
      <c r="D59">
        <f t="shared" si="9"/>
        <v>0</v>
      </c>
      <c r="E59">
        <v>0.12961971076593465</v>
      </c>
    </row>
    <row r="60" spans="1:7" x14ac:dyDescent="0.3">
      <c r="A60">
        <v>2034</v>
      </c>
      <c r="B60">
        <v>1</v>
      </c>
      <c r="C60">
        <v>6</v>
      </c>
      <c r="D60">
        <f t="shared" si="9"/>
        <v>0</v>
      </c>
      <c r="E60">
        <v>0.39903588644884846</v>
      </c>
    </row>
    <row r="61" spans="1:7" x14ac:dyDescent="0.3">
      <c r="A61">
        <v>2035</v>
      </c>
      <c r="B61">
        <v>1</v>
      </c>
      <c r="C61">
        <v>1</v>
      </c>
      <c r="D61">
        <f>E61*$F$63</f>
        <v>0</v>
      </c>
      <c r="E61">
        <v>0.17675415104445635</v>
      </c>
      <c r="F61">
        <v>713.91499999999996</v>
      </c>
      <c r="G61">
        <f>SUM(D61:D66)</f>
        <v>0</v>
      </c>
    </row>
    <row r="62" spans="1:7" x14ac:dyDescent="0.3">
      <c r="A62">
        <v>2035</v>
      </c>
      <c r="B62">
        <v>1</v>
      </c>
      <c r="C62">
        <v>2</v>
      </c>
      <c r="D62">
        <f t="shared" ref="D62:D66" si="10">E62*$F$63</f>
        <v>0</v>
      </c>
      <c r="E62">
        <v>5.3561863952865569E-4</v>
      </c>
    </row>
    <row r="63" spans="1:7" x14ac:dyDescent="0.3">
      <c r="A63">
        <v>2035</v>
      </c>
      <c r="B63">
        <v>1</v>
      </c>
      <c r="C63">
        <v>3</v>
      </c>
      <c r="D63">
        <f t="shared" si="10"/>
        <v>0</v>
      </c>
      <c r="E63">
        <v>0.27745045527584361</v>
      </c>
    </row>
    <row r="64" spans="1:7" x14ac:dyDescent="0.3">
      <c r="A64">
        <v>2035</v>
      </c>
      <c r="B64">
        <v>1</v>
      </c>
      <c r="C64">
        <v>4</v>
      </c>
      <c r="D64">
        <f t="shared" si="10"/>
        <v>0</v>
      </c>
      <c r="E64">
        <v>1.6604177825388325E-2</v>
      </c>
    </row>
    <row r="65" spans="1:7" x14ac:dyDescent="0.3">
      <c r="A65">
        <v>2035</v>
      </c>
      <c r="B65">
        <v>1</v>
      </c>
      <c r="C65">
        <v>5</v>
      </c>
      <c r="D65">
        <f t="shared" si="10"/>
        <v>0</v>
      </c>
      <c r="E65">
        <v>0.12961971076593465</v>
      </c>
    </row>
    <row r="66" spans="1:7" x14ac:dyDescent="0.3">
      <c r="A66">
        <v>2035</v>
      </c>
      <c r="B66">
        <v>1</v>
      </c>
      <c r="C66">
        <v>6</v>
      </c>
      <c r="D66">
        <f t="shared" si="10"/>
        <v>0</v>
      </c>
      <c r="E66">
        <v>0.39903588644884846</v>
      </c>
    </row>
    <row r="67" spans="1:7" x14ac:dyDescent="0.3">
      <c r="A67">
        <v>2036</v>
      </c>
      <c r="B67">
        <v>1</v>
      </c>
      <c r="C67">
        <v>1</v>
      </c>
      <c r="D67">
        <f>E67*$F$69</f>
        <v>0</v>
      </c>
      <c r="E67">
        <v>0.17675415104445635</v>
      </c>
      <c r="F67">
        <v>699.38699999999994</v>
      </c>
      <c r="G67">
        <f>SUM(D67:D72)</f>
        <v>0</v>
      </c>
    </row>
    <row r="68" spans="1:7" x14ac:dyDescent="0.3">
      <c r="A68">
        <v>2036</v>
      </c>
      <c r="B68">
        <v>1</v>
      </c>
      <c r="C68">
        <v>2</v>
      </c>
      <c r="D68">
        <f t="shared" ref="D68:D72" si="11">E68*$F$69</f>
        <v>0</v>
      </c>
      <c r="E68">
        <v>5.3561863952865569E-4</v>
      </c>
    </row>
    <row r="69" spans="1:7" x14ac:dyDescent="0.3">
      <c r="A69">
        <v>2036</v>
      </c>
      <c r="B69">
        <v>1</v>
      </c>
      <c r="C69">
        <v>3</v>
      </c>
      <c r="D69">
        <f t="shared" si="11"/>
        <v>0</v>
      </c>
      <c r="E69">
        <v>0.27745045527584361</v>
      </c>
    </row>
    <row r="70" spans="1:7" x14ac:dyDescent="0.3">
      <c r="A70">
        <v>2036</v>
      </c>
      <c r="B70">
        <v>1</v>
      </c>
      <c r="C70">
        <v>4</v>
      </c>
      <c r="D70">
        <f t="shared" si="11"/>
        <v>0</v>
      </c>
      <c r="E70">
        <v>1.6604177825388325E-2</v>
      </c>
    </row>
    <row r="71" spans="1:7" x14ac:dyDescent="0.3">
      <c r="A71">
        <v>2036</v>
      </c>
      <c r="B71">
        <v>1</v>
      </c>
      <c r="C71">
        <v>5</v>
      </c>
      <c r="D71">
        <f t="shared" si="11"/>
        <v>0</v>
      </c>
      <c r="E71">
        <v>0.12961971076593465</v>
      </c>
    </row>
    <row r="72" spans="1:7" x14ac:dyDescent="0.3">
      <c r="A72">
        <v>2036</v>
      </c>
      <c r="B72">
        <v>1</v>
      </c>
      <c r="C72">
        <v>6</v>
      </c>
      <c r="D72">
        <f t="shared" si="11"/>
        <v>0</v>
      </c>
      <c r="E72">
        <v>0.39903588644884846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Cat 1</vt:lpstr>
      <vt:lpstr>Cat 2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Vladlena.Gertseva</dc:creator>
  <cp:lastModifiedBy>Jason.Cope</cp:lastModifiedBy>
  <dcterms:created xsi:type="dcterms:W3CDTF">2025-07-17T23:57:49Z</dcterms:created>
  <dcterms:modified xsi:type="dcterms:W3CDTF">2025-09-04T20:34:35Z</dcterms:modified>
</cp:coreProperties>
</file>