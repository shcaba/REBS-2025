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.Cope\Documents\Github\REBS-2025\Document\report\ofl_report\"/>
    </mc:Choice>
  </mc:AlternateContent>
  <xr:revisionPtr revIDLastSave="0" documentId="13_ncr:1_{B845A900-25E2-4D8B-A958-22C01FEC3EB7}" xr6:coauthVersionLast="47" xr6:coauthVersionMax="47" xr10:uidLastSave="{00000000-0000-0000-0000-000000000000}"/>
  <bookViews>
    <workbookView xWindow="-108" yWindow="-108" windowWidth="23256" windowHeight="12456" xr2:uid="{221927F3-A3BC-49E5-8350-92FAF4A860D3}"/>
  </bookViews>
  <sheets>
    <sheet name="Catch calcs" sheetId="1" r:id="rId1"/>
    <sheet name="Catch t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  <c r="G12" i="1"/>
  <c r="G10" i="1"/>
  <c r="G8" i="1"/>
  <c r="G6" i="1"/>
  <c r="G4" i="1"/>
  <c r="F14" i="1"/>
  <c r="F12" i="1"/>
  <c r="F10" i="1"/>
  <c r="F8" i="1"/>
  <c r="F6" i="1"/>
  <c r="G15" i="1"/>
  <c r="F15" i="1"/>
  <c r="F4" i="1"/>
  <c r="E4" i="1"/>
  <c r="E6" i="1"/>
  <c r="E8" i="1"/>
  <c r="E10" i="1"/>
  <c r="E12" i="1"/>
  <c r="E14" i="1"/>
</calcChain>
</file>

<file path=xl/sharedStrings.xml><?xml version="1.0" encoding="utf-8"?>
<sst xmlns="http://schemas.openxmlformats.org/spreadsheetml/2006/main" count="20" uniqueCount="8">
  <si>
    <t>Year</t>
  </si>
  <si>
    <t>OFL</t>
  </si>
  <si>
    <t>ABC</t>
  </si>
  <si>
    <t>Depletion</t>
  </si>
  <si>
    <t>SO</t>
  </si>
  <si>
    <t>300 mt for 2027-2028</t>
  </si>
  <si>
    <t>519 mt for 2027-2028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</si>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</sst>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A121-A5AC-4877-A3BB-8A3BC863CAB3}">
  <dimension ref="A2:K39"/>
  <sheetViews>
    <sheetView tabSelected="1" workbookViewId="0">
      <selection activeCell="A16" sqref="A16:D39"/>
    </sheetView>
  </sheetViews>
  <sheetFormatPr defaultRowHeight="14.4" x14ac:dyDescent="0.3"/>
  <sheetData>
    <row r="2" spans="1:11" x14ac:dyDescent="0.3">
      <c r="F2">
        <v>519</v>
      </c>
      <c r="G2">
        <v>300</v>
      </c>
    </row>
    <row r="3" spans="1:11" x14ac:dyDescent="0.3">
      <c r="A3">
        <v>2025</v>
      </c>
      <c r="B3">
        <v>1</v>
      </c>
      <c r="C3">
        <v>1</v>
      </c>
      <c r="D3">
        <v>33</v>
      </c>
    </row>
    <row r="4" spans="1:11" x14ac:dyDescent="0.3">
      <c r="A4">
        <v>2026</v>
      </c>
      <c r="B4">
        <v>1</v>
      </c>
      <c r="C4">
        <v>1</v>
      </c>
      <c r="D4">
        <v>33</v>
      </c>
      <c r="E4">
        <f>D4/SUM($D$14,$D$12,$D$10,$D$8,$D$6,$D$4)</f>
        <v>0.17675415104445635</v>
      </c>
      <c r="F4">
        <f>$E$4*F$2</f>
        <v>91.735404392072851</v>
      </c>
      <c r="G4">
        <f>$E$4*G$2</f>
        <v>53.026245313336908</v>
      </c>
    </row>
    <row r="5" spans="1:11" x14ac:dyDescent="0.3">
      <c r="A5">
        <v>2025</v>
      </c>
      <c r="B5">
        <v>1</v>
      </c>
      <c r="C5">
        <v>2</v>
      </c>
      <c r="D5">
        <v>0.1</v>
      </c>
    </row>
    <row r="6" spans="1:11" x14ac:dyDescent="0.3">
      <c r="A6">
        <v>2026</v>
      </c>
      <c r="B6">
        <v>1</v>
      </c>
      <c r="C6">
        <v>2</v>
      </c>
      <c r="D6">
        <v>0.1</v>
      </c>
      <c r="E6">
        <f>D6/SUM($D$14,$D$12,$D$10,$D$8,$D$6,$D$4)</f>
        <v>5.3561863952865569E-4</v>
      </c>
      <c r="F6">
        <f>$E$6*F$2</f>
        <v>0.27798607391537228</v>
      </c>
      <c r="G6">
        <f>$E$6*G$2</f>
        <v>0.16068559185859671</v>
      </c>
    </row>
    <row r="7" spans="1:11" x14ac:dyDescent="0.3">
      <c r="A7">
        <v>2025</v>
      </c>
      <c r="B7">
        <v>1</v>
      </c>
      <c r="C7">
        <v>3</v>
      </c>
      <c r="D7">
        <v>51.8</v>
      </c>
    </row>
    <row r="8" spans="1:11" x14ac:dyDescent="0.3">
      <c r="A8">
        <v>2026</v>
      </c>
      <c r="B8">
        <v>1</v>
      </c>
      <c r="C8">
        <v>3</v>
      </c>
      <c r="D8">
        <v>51.8</v>
      </c>
      <c r="E8">
        <f>D8/SUM($D$14,$D$12,$D$10,$D$8,$D$6,$D$4)</f>
        <v>0.27745045527584361</v>
      </c>
      <c r="F8">
        <f>$E$8*F$2</f>
        <v>143.99678628816284</v>
      </c>
      <c r="G8">
        <f>$E$8*G$2</f>
        <v>83.235136582753086</v>
      </c>
    </row>
    <row r="9" spans="1:11" x14ac:dyDescent="0.3">
      <c r="A9">
        <v>2025</v>
      </c>
      <c r="B9">
        <v>1</v>
      </c>
      <c r="C9">
        <v>4</v>
      </c>
      <c r="D9">
        <v>3.1</v>
      </c>
    </row>
    <row r="10" spans="1:11" x14ac:dyDescent="0.3">
      <c r="A10">
        <v>2026</v>
      </c>
      <c r="B10">
        <v>1</v>
      </c>
      <c r="C10">
        <v>4</v>
      </c>
      <c r="D10">
        <v>3.1</v>
      </c>
      <c r="E10">
        <f>D10/SUM($D$14,$D$12,$D$10,$D$8,$D$6,$D$4)</f>
        <v>1.6604177825388325E-2</v>
      </c>
      <c r="F10">
        <f>$E$10*F$2</f>
        <v>8.617568291376541</v>
      </c>
      <c r="G10">
        <f>$E$10*G$2</f>
        <v>4.9812533476164971</v>
      </c>
    </row>
    <row r="11" spans="1:11" x14ac:dyDescent="0.3">
      <c r="A11">
        <v>2025</v>
      </c>
      <c r="B11">
        <v>1</v>
      </c>
      <c r="C11">
        <v>5</v>
      </c>
      <c r="D11">
        <v>24.2</v>
      </c>
    </row>
    <row r="12" spans="1:11" x14ac:dyDescent="0.3">
      <c r="A12">
        <v>2026</v>
      </c>
      <c r="B12">
        <v>1</v>
      </c>
      <c r="C12">
        <v>5</v>
      </c>
      <c r="D12">
        <v>24.2</v>
      </c>
      <c r="E12">
        <f>D12/SUM($D$14,$D$12,$D$10,$D$8,$D$6,$D$4)</f>
        <v>0.12961971076593465</v>
      </c>
      <c r="F12">
        <f>$E$12*F$2</f>
        <v>67.272629887520083</v>
      </c>
      <c r="G12">
        <f>$E$12*G$2</f>
        <v>38.885913229780392</v>
      </c>
    </row>
    <row r="13" spans="1:11" x14ac:dyDescent="0.3">
      <c r="A13">
        <v>2025</v>
      </c>
      <c r="B13">
        <v>1</v>
      </c>
      <c r="C13">
        <v>6</v>
      </c>
      <c r="D13">
        <v>42.9</v>
      </c>
    </row>
    <row r="14" spans="1:11" x14ac:dyDescent="0.3">
      <c r="A14">
        <v>2026</v>
      </c>
      <c r="B14">
        <v>1</v>
      </c>
      <c r="C14">
        <v>6</v>
      </c>
      <c r="D14">
        <v>74.5</v>
      </c>
      <c r="E14">
        <f>D14/SUM($D$14,$D$12,$D$10,$D$8,$D$6,$D$4)</f>
        <v>0.39903588644884846</v>
      </c>
      <c r="F14">
        <f>$E$14*F$2</f>
        <v>207.09962506695234</v>
      </c>
      <c r="G14">
        <f>$E$14*G$2</f>
        <v>119.71076593465455</v>
      </c>
    </row>
    <row r="15" spans="1:11" x14ac:dyDescent="0.3">
      <c r="F15">
        <f>SUM(F4:F14)</f>
        <v>519</v>
      </c>
      <c r="G15">
        <f>SUM(G4:G14)</f>
        <v>300</v>
      </c>
    </row>
    <row r="16" spans="1:11" x14ac:dyDescent="0.3">
      <c r="A16">
        <v>2025</v>
      </c>
      <c r="B16">
        <v>1</v>
      </c>
      <c r="C16">
        <v>1</v>
      </c>
      <c r="D16">
        <v>33</v>
      </c>
      <c r="H16">
        <v>2025</v>
      </c>
      <c r="I16">
        <v>1</v>
      </c>
      <c r="J16">
        <v>1</v>
      </c>
      <c r="K16">
        <v>33</v>
      </c>
    </row>
    <row r="17" spans="1:11" x14ac:dyDescent="0.3">
      <c r="A17">
        <v>2026</v>
      </c>
      <c r="B17">
        <v>1</v>
      </c>
      <c r="C17">
        <v>1</v>
      </c>
      <c r="D17">
        <v>33</v>
      </c>
      <c r="H17">
        <v>2026</v>
      </c>
      <c r="I17">
        <v>1</v>
      </c>
      <c r="J17">
        <v>1</v>
      </c>
      <c r="K17">
        <v>33</v>
      </c>
    </row>
    <row r="18" spans="1:11" x14ac:dyDescent="0.3">
      <c r="A18">
        <v>2027</v>
      </c>
      <c r="B18">
        <v>1</v>
      </c>
      <c r="C18">
        <v>1</v>
      </c>
      <c r="D18">
        <v>91.735404392072851</v>
      </c>
      <c r="H18">
        <v>2027</v>
      </c>
      <c r="I18">
        <v>1</v>
      </c>
      <c r="J18">
        <v>1</v>
      </c>
      <c r="K18">
        <v>53.026245313336908</v>
      </c>
    </row>
    <row r="19" spans="1:11" x14ac:dyDescent="0.3">
      <c r="A19">
        <v>2028</v>
      </c>
      <c r="B19">
        <v>1</v>
      </c>
      <c r="C19">
        <v>1</v>
      </c>
      <c r="D19">
        <v>91.735404392072851</v>
      </c>
      <c r="H19">
        <v>2028</v>
      </c>
      <c r="I19">
        <v>1</v>
      </c>
      <c r="J19">
        <v>1</v>
      </c>
      <c r="K19">
        <v>53.026245313336908</v>
      </c>
    </row>
    <row r="20" spans="1:11" x14ac:dyDescent="0.3">
      <c r="A20">
        <v>2025</v>
      </c>
      <c r="B20">
        <v>1</v>
      </c>
      <c r="C20">
        <v>2</v>
      </c>
      <c r="D20">
        <v>0.1</v>
      </c>
      <c r="H20">
        <v>2025</v>
      </c>
      <c r="I20">
        <v>1</v>
      </c>
      <c r="J20">
        <v>2</v>
      </c>
      <c r="K20">
        <v>0.1</v>
      </c>
    </row>
    <row r="21" spans="1:11" x14ac:dyDescent="0.3">
      <c r="A21">
        <v>2026</v>
      </c>
      <c r="B21">
        <v>1</v>
      </c>
      <c r="C21">
        <v>2</v>
      </c>
      <c r="D21">
        <v>0.1</v>
      </c>
      <c r="H21">
        <v>2026</v>
      </c>
      <c r="I21">
        <v>1</v>
      </c>
      <c r="J21">
        <v>2</v>
      </c>
      <c r="K21">
        <v>0.1</v>
      </c>
    </row>
    <row r="22" spans="1:11" x14ac:dyDescent="0.3">
      <c r="A22">
        <v>2027</v>
      </c>
      <c r="B22">
        <v>1</v>
      </c>
      <c r="C22">
        <v>2</v>
      </c>
      <c r="D22">
        <v>0.27798607391537228</v>
      </c>
      <c r="H22">
        <v>2027</v>
      </c>
      <c r="I22">
        <v>1</v>
      </c>
      <c r="J22">
        <v>2</v>
      </c>
      <c r="K22">
        <v>0.16068559185859671</v>
      </c>
    </row>
    <row r="23" spans="1:11" x14ac:dyDescent="0.3">
      <c r="A23">
        <v>2028</v>
      </c>
      <c r="B23">
        <v>1</v>
      </c>
      <c r="C23">
        <v>2</v>
      </c>
      <c r="D23">
        <v>0.27798607391537228</v>
      </c>
      <c r="H23">
        <v>2028</v>
      </c>
      <c r="I23">
        <v>1</v>
      </c>
      <c r="J23">
        <v>2</v>
      </c>
      <c r="K23">
        <v>0.16068559185859671</v>
      </c>
    </row>
    <row r="24" spans="1:11" x14ac:dyDescent="0.3">
      <c r="A24">
        <v>2025</v>
      </c>
      <c r="B24">
        <v>1</v>
      </c>
      <c r="C24">
        <v>3</v>
      </c>
      <c r="D24">
        <v>51.8</v>
      </c>
      <c r="H24">
        <v>2025</v>
      </c>
      <c r="I24">
        <v>1</v>
      </c>
      <c r="J24">
        <v>3</v>
      </c>
      <c r="K24">
        <v>51.8</v>
      </c>
    </row>
    <row r="25" spans="1:11" x14ac:dyDescent="0.3">
      <c r="A25">
        <v>2026</v>
      </c>
      <c r="B25">
        <v>1</v>
      </c>
      <c r="C25">
        <v>3</v>
      </c>
      <c r="D25">
        <v>51.8</v>
      </c>
      <c r="H25">
        <v>2026</v>
      </c>
      <c r="I25">
        <v>1</v>
      </c>
      <c r="J25">
        <v>3</v>
      </c>
      <c r="K25">
        <v>51.8</v>
      </c>
    </row>
    <row r="26" spans="1:11" x14ac:dyDescent="0.3">
      <c r="A26">
        <v>2027</v>
      </c>
      <c r="B26">
        <v>1</v>
      </c>
      <c r="C26">
        <v>3</v>
      </c>
      <c r="D26">
        <v>143.99678628816284</v>
      </c>
      <c r="H26">
        <v>2027</v>
      </c>
      <c r="I26">
        <v>1</v>
      </c>
      <c r="J26">
        <v>3</v>
      </c>
      <c r="K26">
        <v>83.235136582753086</v>
      </c>
    </row>
    <row r="27" spans="1:11" x14ac:dyDescent="0.3">
      <c r="A27">
        <v>2028</v>
      </c>
      <c r="B27">
        <v>1</v>
      </c>
      <c r="C27">
        <v>3</v>
      </c>
      <c r="D27">
        <v>143.99678628816284</v>
      </c>
      <c r="H27">
        <v>2028</v>
      </c>
      <c r="I27">
        <v>1</v>
      </c>
      <c r="J27">
        <v>3</v>
      </c>
      <c r="K27">
        <v>83.235136582753086</v>
      </c>
    </row>
    <row r="28" spans="1:11" x14ac:dyDescent="0.3">
      <c r="A28">
        <v>2025</v>
      </c>
      <c r="B28">
        <v>1</v>
      </c>
      <c r="C28">
        <v>4</v>
      </c>
      <c r="D28">
        <v>3.1</v>
      </c>
      <c r="H28">
        <v>2025</v>
      </c>
      <c r="I28">
        <v>1</v>
      </c>
      <c r="J28">
        <v>4</v>
      </c>
      <c r="K28">
        <v>3.1</v>
      </c>
    </row>
    <row r="29" spans="1:11" x14ac:dyDescent="0.3">
      <c r="A29">
        <v>2026</v>
      </c>
      <c r="B29">
        <v>1</v>
      </c>
      <c r="C29">
        <v>4</v>
      </c>
      <c r="D29">
        <v>3.1</v>
      </c>
      <c r="H29">
        <v>2026</v>
      </c>
      <c r="I29">
        <v>1</v>
      </c>
      <c r="J29">
        <v>4</v>
      </c>
      <c r="K29">
        <v>3.1</v>
      </c>
    </row>
    <row r="30" spans="1:11" x14ac:dyDescent="0.3">
      <c r="A30">
        <v>2027</v>
      </c>
      <c r="B30">
        <v>1</v>
      </c>
      <c r="C30">
        <v>4</v>
      </c>
      <c r="D30">
        <v>8.617568291376541</v>
      </c>
      <c r="H30">
        <v>2027</v>
      </c>
      <c r="I30">
        <v>1</v>
      </c>
      <c r="J30">
        <v>4</v>
      </c>
      <c r="K30">
        <v>4.9812533476164971</v>
      </c>
    </row>
    <row r="31" spans="1:11" x14ac:dyDescent="0.3">
      <c r="A31">
        <v>2028</v>
      </c>
      <c r="B31">
        <v>1</v>
      </c>
      <c r="C31">
        <v>4</v>
      </c>
      <c r="D31">
        <v>8.617568291376541</v>
      </c>
      <c r="H31">
        <v>2028</v>
      </c>
      <c r="I31">
        <v>1</v>
      </c>
      <c r="J31">
        <v>4</v>
      </c>
      <c r="K31">
        <v>4.9812533476164971</v>
      </c>
    </row>
    <row r="32" spans="1:11" x14ac:dyDescent="0.3">
      <c r="A32">
        <v>2025</v>
      </c>
      <c r="B32">
        <v>1</v>
      </c>
      <c r="C32">
        <v>5</v>
      </c>
      <c r="D32">
        <v>24.2</v>
      </c>
      <c r="H32">
        <v>2025</v>
      </c>
      <c r="I32">
        <v>1</v>
      </c>
      <c r="J32">
        <v>5</v>
      </c>
      <c r="K32">
        <v>24.2</v>
      </c>
    </row>
    <row r="33" spans="1:11" x14ac:dyDescent="0.3">
      <c r="A33">
        <v>2026</v>
      </c>
      <c r="B33">
        <v>1</v>
      </c>
      <c r="C33">
        <v>5</v>
      </c>
      <c r="D33">
        <v>24.2</v>
      </c>
      <c r="H33">
        <v>2026</v>
      </c>
      <c r="I33">
        <v>1</v>
      </c>
      <c r="J33">
        <v>5</v>
      </c>
      <c r="K33">
        <v>24.2</v>
      </c>
    </row>
    <row r="34" spans="1:11" x14ac:dyDescent="0.3">
      <c r="A34">
        <v>2027</v>
      </c>
      <c r="B34">
        <v>1</v>
      </c>
      <c r="C34">
        <v>5</v>
      </c>
      <c r="D34">
        <v>67.272629887520083</v>
      </c>
      <c r="H34">
        <v>2027</v>
      </c>
      <c r="I34">
        <v>1</v>
      </c>
      <c r="J34">
        <v>5</v>
      </c>
      <c r="K34">
        <v>38.885913229780392</v>
      </c>
    </row>
    <row r="35" spans="1:11" x14ac:dyDescent="0.3">
      <c r="A35">
        <v>2028</v>
      </c>
      <c r="B35">
        <v>1</v>
      </c>
      <c r="C35">
        <v>5</v>
      </c>
      <c r="D35">
        <v>67.272629887520083</v>
      </c>
      <c r="H35">
        <v>2028</v>
      </c>
      <c r="I35">
        <v>1</v>
      </c>
      <c r="J35">
        <v>5</v>
      </c>
      <c r="K35">
        <v>38.885913229780392</v>
      </c>
    </row>
    <row r="36" spans="1:11" x14ac:dyDescent="0.3">
      <c r="A36">
        <v>2025</v>
      </c>
      <c r="B36">
        <v>1</v>
      </c>
      <c r="C36">
        <v>6</v>
      </c>
      <c r="D36">
        <v>42.9</v>
      </c>
      <c r="H36">
        <v>2025</v>
      </c>
      <c r="I36">
        <v>1</v>
      </c>
      <c r="J36">
        <v>6</v>
      </c>
      <c r="K36">
        <v>42.9</v>
      </c>
    </row>
    <row r="37" spans="1:11" x14ac:dyDescent="0.3">
      <c r="A37">
        <v>2026</v>
      </c>
      <c r="B37">
        <v>1</v>
      </c>
      <c r="C37">
        <v>6</v>
      </c>
      <c r="D37">
        <v>74.5</v>
      </c>
      <c r="H37">
        <v>2026</v>
      </c>
      <c r="I37">
        <v>1</v>
      </c>
      <c r="J37">
        <v>6</v>
      </c>
      <c r="K37">
        <v>74.5</v>
      </c>
    </row>
    <row r="38" spans="1:11" x14ac:dyDescent="0.3">
      <c r="A38">
        <v>2027</v>
      </c>
      <c r="B38">
        <v>1</v>
      </c>
      <c r="C38">
        <v>6</v>
      </c>
      <c r="D38">
        <v>207.09962506695234</v>
      </c>
      <c r="H38">
        <v>2027</v>
      </c>
      <c r="I38">
        <v>1</v>
      </c>
      <c r="J38">
        <v>6</v>
      </c>
      <c r="K38">
        <v>119.71076593465455</v>
      </c>
    </row>
    <row r="39" spans="1:11" x14ac:dyDescent="0.3">
      <c r="A39">
        <v>2028</v>
      </c>
      <c r="B39">
        <v>1</v>
      </c>
      <c r="C39">
        <v>6</v>
      </c>
      <c r="D39">
        <v>207.09962506695234</v>
      </c>
      <c r="H39">
        <v>2028</v>
      </c>
      <c r="I39">
        <v>1</v>
      </c>
      <c r="J39">
        <v>6</v>
      </c>
      <c r="K39">
        <v>119.71076593465455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9A1D-C0DE-4ADD-8DED-E04F47617AFD}">
  <dimension ref="A2:G30"/>
  <sheetViews>
    <sheetView topLeftCell="A4" workbookViewId="0">
      <selection activeCell="F23" sqref="F23:F30"/>
    </sheetView>
  </sheetViews>
  <sheetFormatPr defaultRowHeight="14.4" x14ac:dyDescent="0.3"/>
  <sheetData>
    <row r="2" spans="1:5" x14ac:dyDescent="0.3">
      <c r="A2" t="s">
        <v>5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1">
        <v>2025</v>
      </c>
      <c r="B4" s="3" t="s">
        <v>7</v>
      </c>
      <c r="C4" s="1">
        <v>155.1</v>
      </c>
      <c r="D4" s="2">
        <v>0.87204000000000004</v>
      </c>
      <c r="E4" s="2">
        <v>4.8600700000000003</v>
      </c>
    </row>
    <row r="5" spans="1:5" x14ac:dyDescent="0.3">
      <c r="A5" s="1">
        <v>2026</v>
      </c>
      <c r="B5" s="3" t="s">
        <v>7</v>
      </c>
      <c r="C5" s="1">
        <v>186.7</v>
      </c>
      <c r="D5" s="2">
        <v>0.87466999999999995</v>
      </c>
      <c r="E5" s="2">
        <v>4.8747299999999996</v>
      </c>
    </row>
    <row r="6" spans="1:5" x14ac:dyDescent="0.3">
      <c r="A6" s="1">
        <v>2027</v>
      </c>
      <c r="B6" s="3" t="s">
        <v>7</v>
      </c>
      <c r="C6" s="1">
        <v>300</v>
      </c>
      <c r="D6" s="2">
        <v>0.87709999999999999</v>
      </c>
      <c r="E6" s="2">
        <v>4.8882700000000003</v>
      </c>
    </row>
    <row r="7" spans="1:5" x14ac:dyDescent="0.3">
      <c r="A7" s="1">
        <v>2028</v>
      </c>
      <c r="B7" s="3" t="s">
        <v>7</v>
      </c>
      <c r="C7" s="1">
        <v>300</v>
      </c>
      <c r="D7" s="2">
        <v>0.87731999999999999</v>
      </c>
      <c r="E7" s="2">
        <v>4.8895</v>
      </c>
    </row>
    <row r="8" spans="1:5" x14ac:dyDescent="0.3">
      <c r="A8" s="1">
        <v>2029</v>
      </c>
      <c r="B8" s="3">
        <v>969.00800000000004</v>
      </c>
      <c r="C8" s="3">
        <v>830.44</v>
      </c>
      <c r="D8" s="2">
        <v>0.87773000000000001</v>
      </c>
      <c r="E8" s="2">
        <v>4.8917799999999998</v>
      </c>
    </row>
    <row r="9" spans="1:5" x14ac:dyDescent="0.3">
      <c r="A9" s="1">
        <v>2030</v>
      </c>
      <c r="B9" s="3">
        <v>957.60400000000004</v>
      </c>
      <c r="C9" s="3">
        <v>813</v>
      </c>
      <c r="D9" s="2">
        <v>0.86633000000000004</v>
      </c>
      <c r="E9" s="2">
        <v>4.8282699999999998</v>
      </c>
    </row>
    <row r="10" spans="1:5" x14ac:dyDescent="0.3">
      <c r="A10" s="1">
        <v>2031</v>
      </c>
      <c r="B10" s="3">
        <v>946.38</v>
      </c>
      <c r="C10" s="3">
        <v>795.9</v>
      </c>
      <c r="D10" s="2">
        <v>0.85538999999999998</v>
      </c>
      <c r="E10" s="2">
        <v>4.7673199999999998</v>
      </c>
    </row>
    <row r="11" spans="1:5" x14ac:dyDescent="0.3">
      <c r="A11" s="1">
        <v>2032</v>
      </c>
      <c r="B11" s="3">
        <v>935.26199999999994</v>
      </c>
      <c r="C11" s="3">
        <v>779.07</v>
      </c>
      <c r="D11" s="2">
        <v>0.84484000000000004</v>
      </c>
      <c r="E11" s="2">
        <v>4.7084799999999998</v>
      </c>
    </row>
    <row r="12" spans="1:5" x14ac:dyDescent="0.3">
      <c r="A12" s="1">
        <v>2033</v>
      </c>
      <c r="B12" s="3">
        <v>924.14</v>
      </c>
      <c r="C12" s="3">
        <v>763.34</v>
      </c>
      <c r="D12" s="2">
        <v>0.83457000000000003</v>
      </c>
      <c r="E12" s="2">
        <v>4.6512700000000002</v>
      </c>
    </row>
    <row r="13" spans="1:5" x14ac:dyDescent="0.3">
      <c r="A13" s="1">
        <v>2034</v>
      </c>
      <c r="B13" s="3">
        <v>912.92200000000003</v>
      </c>
      <c r="C13" s="3">
        <v>746.77</v>
      </c>
      <c r="D13" s="2">
        <v>0.82450000000000001</v>
      </c>
      <c r="E13" s="2">
        <v>4.5951300000000002</v>
      </c>
    </row>
    <row r="14" spans="1:5" x14ac:dyDescent="0.3">
      <c r="A14" s="1">
        <v>2035</v>
      </c>
      <c r="B14" s="3">
        <v>901.64200000000005</v>
      </c>
      <c r="C14" s="3">
        <v>730.33</v>
      </c>
      <c r="D14" s="2">
        <v>0.81457999999999997</v>
      </c>
      <c r="E14" s="2">
        <v>4.5398399999999999</v>
      </c>
    </row>
    <row r="15" spans="1:5" x14ac:dyDescent="0.3">
      <c r="A15" s="1">
        <v>2036</v>
      </c>
      <c r="B15" s="3">
        <v>890.37900000000002</v>
      </c>
      <c r="C15" s="3">
        <v>714.97</v>
      </c>
      <c r="D15" s="2">
        <v>0.80479000000000001</v>
      </c>
      <c r="E15" s="2">
        <v>4.48529</v>
      </c>
    </row>
    <row r="17" spans="1:7" x14ac:dyDescent="0.3">
      <c r="A17" t="s">
        <v>6</v>
      </c>
    </row>
    <row r="18" spans="1:7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</row>
    <row r="19" spans="1:7" x14ac:dyDescent="0.3">
      <c r="A19" s="1">
        <v>2025</v>
      </c>
      <c r="B19" s="3" t="s">
        <v>7</v>
      </c>
      <c r="C19" s="1">
        <v>155.1</v>
      </c>
      <c r="D19" s="2">
        <v>0.87204000000000004</v>
      </c>
      <c r="E19" s="2">
        <v>4.8600700000000003</v>
      </c>
    </row>
    <row r="20" spans="1:7" x14ac:dyDescent="0.3">
      <c r="A20" s="1">
        <v>2026</v>
      </c>
      <c r="B20" s="3" t="s">
        <v>7</v>
      </c>
      <c r="C20" s="1">
        <v>186.7</v>
      </c>
      <c r="D20" s="2">
        <v>0.87466999999999995</v>
      </c>
      <c r="E20" s="2">
        <v>4.8747299999999996</v>
      </c>
    </row>
    <row r="21" spans="1:7" x14ac:dyDescent="0.3">
      <c r="A21" s="1">
        <v>2027</v>
      </c>
      <c r="B21" s="3" t="s">
        <v>7</v>
      </c>
      <c r="C21" s="1">
        <v>519</v>
      </c>
      <c r="D21" s="2">
        <v>0.87709999999999999</v>
      </c>
      <c r="E21" s="2">
        <v>4.8882700000000003</v>
      </c>
    </row>
    <row r="22" spans="1:7" x14ac:dyDescent="0.3">
      <c r="A22" s="1">
        <v>2028</v>
      </c>
      <c r="B22" s="3" t="s">
        <v>7</v>
      </c>
      <c r="C22" s="1">
        <v>519</v>
      </c>
      <c r="D22" s="2">
        <v>0.87241999999999997</v>
      </c>
      <c r="E22" s="2">
        <v>4.8622199999999998</v>
      </c>
    </row>
    <row r="23" spans="1:7" x14ac:dyDescent="0.3">
      <c r="A23" s="1">
        <v>2029</v>
      </c>
      <c r="B23" s="3">
        <v>958.52</v>
      </c>
      <c r="C23" s="3">
        <v>821.45799999999997</v>
      </c>
      <c r="D23" s="2">
        <v>0.86795999999999995</v>
      </c>
      <c r="E23" s="2">
        <v>4.8373400000000002</v>
      </c>
      <c r="G23" s="4"/>
    </row>
    <row r="24" spans="1:7" x14ac:dyDescent="0.3">
      <c r="A24" s="1">
        <v>2030</v>
      </c>
      <c r="B24" s="3">
        <v>947.43</v>
      </c>
      <c r="C24" s="3">
        <v>804.375</v>
      </c>
      <c r="D24" s="2">
        <v>0.85680000000000001</v>
      </c>
      <c r="E24" s="2">
        <v>4.7751700000000001</v>
      </c>
      <c r="G24" s="4"/>
    </row>
    <row r="25" spans="1:7" x14ac:dyDescent="0.3">
      <c r="A25" s="1">
        <v>2031</v>
      </c>
      <c r="B25" s="3">
        <v>936.54</v>
      </c>
      <c r="C25" s="3">
        <v>787.63400000000001</v>
      </c>
      <c r="D25" s="2">
        <v>0.84611999999999998</v>
      </c>
      <c r="E25" s="2">
        <v>4.7156099999999999</v>
      </c>
      <c r="G25" s="4"/>
    </row>
    <row r="26" spans="1:7" x14ac:dyDescent="0.3">
      <c r="A26" s="1">
        <v>2032</v>
      </c>
      <c r="B26" s="3">
        <v>925.76</v>
      </c>
      <c r="C26" s="3">
        <v>771.16399999999999</v>
      </c>
      <c r="D26" s="2">
        <v>0.83582000000000001</v>
      </c>
      <c r="E26" s="2">
        <v>4.65822</v>
      </c>
      <c r="G26" s="4"/>
    </row>
    <row r="27" spans="1:7" x14ac:dyDescent="0.3">
      <c r="A27" s="1">
        <v>2033</v>
      </c>
      <c r="B27" s="3">
        <v>914.99</v>
      </c>
      <c r="C27" s="3">
        <v>755.78499999999997</v>
      </c>
      <c r="D27" s="2">
        <v>0.82582</v>
      </c>
      <c r="E27" s="2">
        <v>4.6025099999999997</v>
      </c>
      <c r="G27" s="4"/>
    </row>
    <row r="28" spans="1:7" x14ac:dyDescent="0.3">
      <c r="A28" s="1">
        <v>2034</v>
      </c>
      <c r="B28" s="3">
        <v>904.13</v>
      </c>
      <c r="C28" s="3">
        <v>739.57899999999995</v>
      </c>
      <c r="D28" s="2">
        <v>0.81603000000000003</v>
      </c>
      <c r="E28" s="2">
        <v>4.5479099999999999</v>
      </c>
      <c r="G28" s="4"/>
    </row>
    <row r="29" spans="1:7" x14ac:dyDescent="0.3">
      <c r="A29" s="1">
        <v>2035</v>
      </c>
      <c r="B29" s="3">
        <v>893.2</v>
      </c>
      <c r="C29" s="3">
        <v>723.49599999999998</v>
      </c>
      <c r="D29" s="2">
        <v>0.80639000000000005</v>
      </c>
      <c r="E29" s="2">
        <v>4.4942000000000002</v>
      </c>
      <c r="G29" s="4"/>
    </row>
    <row r="30" spans="1:7" x14ac:dyDescent="0.3">
      <c r="A30" s="1">
        <v>2036</v>
      </c>
      <c r="B30" s="3">
        <v>882.29</v>
      </c>
      <c r="C30" s="3">
        <v>708.48199999999997</v>
      </c>
      <c r="D30" s="2">
        <v>0.79688999999999999</v>
      </c>
      <c r="E30" s="2">
        <v>4.4412500000000001</v>
      </c>
      <c r="G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 calcs</vt:lpstr>
      <vt:lpstr>Catch tables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Jason.Cope</dc:creator>
  <cp:lastModifiedBy>Jason.Cope</cp:lastModifiedBy>
  <dcterms:created xsi:type="dcterms:W3CDTF">2025-09-30T21:49:11Z</dcterms:created>
  <dcterms:modified xsi:type="dcterms:W3CDTF">2025-09-30T22:20:47Z</dcterms:modified>
</cp:coreProperties>
</file>